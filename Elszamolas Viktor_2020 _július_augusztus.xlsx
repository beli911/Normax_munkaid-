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erdosy\Desktop\me\Benner Klima\tablazatok ÚJ\"/>
    </mc:Choice>
  </mc:AlternateContent>
  <bookViews>
    <workbookView xWindow="-120" yWindow="-120" windowWidth="29040" windowHeight="15840" activeTab="2"/>
  </bookViews>
  <sheets>
    <sheet name="2019.nov_dec_jún" sheetId="1" r:id="rId1"/>
    <sheet name="2020.július" sheetId="4" r:id="rId2"/>
    <sheet name="2020.augusztus" sheetId="5" r:id="rId3"/>
  </sheets>
  <definedNames>
    <definedName name="_xlnm._FilterDatabase" localSheetId="0" hidden="1">'2019.nov_dec_jún'!$A$3:$U$123</definedName>
    <definedName name="_xlnm._FilterDatabase" localSheetId="2" hidden="1">'2020.augusztus'!$A$3:$Z$3</definedName>
    <definedName name="_xlnm._FilterDatabase" localSheetId="1" hidden="1">'2020.július'!$A$3:$Z$3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Z253" i="5" l="1"/>
  <c r="O253" i="5"/>
  <c r="G253" i="5"/>
  <c r="Z203" i="5"/>
  <c r="O203" i="5"/>
  <c r="G203" i="5"/>
  <c r="Z153" i="5"/>
  <c r="O153" i="5"/>
  <c r="G153" i="5"/>
  <c r="Z103" i="5"/>
  <c r="O103" i="5"/>
  <c r="G103" i="5"/>
  <c r="G53" i="5"/>
  <c r="D154" i="5"/>
  <c r="E154" i="5" s="1"/>
  <c r="G154" i="5" s="1"/>
  <c r="N154" i="5"/>
  <c r="V154" i="5"/>
  <c r="Y154" i="5"/>
  <c r="N155" i="5"/>
  <c r="N156" i="5"/>
  <c r="N157" i="5"/>
  <c r="N158" i="5"/>
  <c r="N159" i="5"/>
  <c r="N160" i="5"/>
  <c r="D161" i="5"/>
  <c r="E161" i="5"/>
  <c r="G161" i="5" s="1"/>
  <c r="N161" i="5"/>
  <c r="V161" i="5"/>
  <c r="Y161" i="5"/>
  <c r="N162" i="5"/>
  <c r="N163" i="5"/>
  <c r="N164" i="5"/>
  <c r="N165" i="5"/>
  <c r="N166" i="5"/>
  <c r="N167" i="5"/>
  <c r="D168" i="5"/>
  <c r="E168" i="5" s="1"/>
  <c r="G168" i="5" s="1"/>
  <c r="N168" i="5"/>
  <c r="V168" i="5"/>
  <c r="Y168" i="5"/>
  <c r="N169" i="5"/>
  <c r="N170" i="5"/>
  <c r="N171" i="5"/>
  <c r="N172" i="5"/>
  <c r="N173" i="5"/>
  <c r="N174" i="5"/>
  <c r="D175" i="5"/>
  <c r="E175" i="5" s="1"/>
  <c r="G175" i="5" s="1"/>
  <c r="N175" i="5"/>
  <c r="V175" i="5"/>
  <c r="Y175" i="5"/>
  <c r="N176" i="5"/>
  <c r="N177" i="5"/>
  <c r="N178" i="5"/>
  <c r="N179" i="5"/>
  <c r="N180" i="5"/>
  <c r="N181" i="5"/>
  <c r="D182" i="5"/>
  <c r="E182" i="5" s="1"/>
  <c r="G182" i="5" s="1"/>
  <c r="N182" i="5"/>
  <c r="V182" i="5"/>
  <c r="Y182" i="5"/>
  <c r="N183" i="5"/>
  <c r="N184" i="5"/>
  <c r="N185" i="5"/>
  <c r="N186" i="5"/>
  <c r="N187" i="5"/>
  <c r="N188" i="5"/>
  <c r="D189" i="5"/>
  <c r="E189" i="5" s="1"/>
  <c r="G189" i="5" s="1"/>
  <c r="N189" i="5"/>
  <c r="V189" i="5"/>
  <c r="Y189" i="5"/>
  <c r="N190" i="5"/>
  <c r="N191" i="5"/>
  <c r="N192" i="5"/>
  <c r="N193" i="5"/>
  <c r="N194" i="5"/>
  <c r="N195" i="5"/>
  <c r="D196" i="5"/>
  <c r="E196" i="5" s="1"/>
  <c r="G196" i="5" s="1"/>
  <c r="N196" i="5"/>
  <c r="V196" i="5"/>
  <c r="Y196" i="5"/>
  <c r="N197" i="5"/>
  <c r="N198" i="5"/>
  <c r="N199" i="5"/>
  <c r="N200" i="5"/>
  <c r="N201" i="5"/>
  <c r="N202" i="5"/>
  <c r="D204" i="5"/>
  <c r="E204" i="5" s="1"/>
  <c r="G204" i="5" s="1"/>
  <c r="N204" i="5"/>
  <c r="V204" i="5"/>
  <c r="Y204" i="5"/>
  <c r="N205" i="5"/>
  <c r="N206" i="5"/>
  <c r="N207" i="5"/>
  <c r="N208" i="5"/>
  <c r="N209" i="5"/>
  <c r="N210" i="5"/>
  <c r="D211" i="5"/>
  <c r="E211" i="5" s="1"/>
  <c r="G211" i="5" s="1"/>
  <c r="N211" i="5"/>
  <c r="V211" i="5"/>
  <c r="Y211" i="5"/>
  <c r="N212" i="5"/>
  <c r="N213" i="5"/>
  <c r="N214" i="5"/>
  <c r="N215" i="5"/>
  <c r="N216" i="5"/>
  <c r="N217" i="5"/>
  <c r="D218" i="5"/>
  <c r="E218" i="5"/>
  <c r="G218" i="5" s="1"/>
  <c r="N218" i="5"/>
  <c r="V218" i="5"/>
  <c r="Y218" i="5"/>
  <c r="N219" i="5"/>
  <c r="N220" i="5"/>
  <c r="N221" i="5"/>
  <c r="N222" i="5"/>
  <c r="N223" i="5"/>
  <c r="N224" i="5"/>
  <c r="D225" i="5"/>
  <c r="E225" i="5" s="1"/>
  <c r="G225" i="5" s="1"/>
  <c r="N225" i="5"/>
  <c r="V225" i="5"/>
  <c r="Y225" i="5"/>
  <c r="N226" i="5"/>
  <c r="N227" i="5"/>
  <c r="N228" i="5"/>
  <c r="N229" i="5"/>
  <c r="N230" i="5"/>
  <c r="N231" i="5"/>
  <c r="D232" i="5"/>
  <c r="E232" i="5" s="1"/>
  <c r="G232" i="5" s="1"/>
  <c r="N232" i="5"/>
  <c r="V232" i="5"/>
  <c r="Y232" i="5"/>
  <c r="N233" i="5"/>
  <c r="N234" i="5"/>
  <c r="N235" i="5"/>
  <c r="N236" i="5"/>
  <c r="N237" i="5"/>
  <c r="N238" i="5"/>
  <c r="D239" i="5"/>
  <c r="E239" i="5" s="1"/>
  <c r="G239" i="5" s="1"/>
  <c r="N239" i="5"/>
  <c r="V239" i="5"/>
  <c r="Y239" i="5"/>
  <c r="N240" i="5"/>
  <c r="N241" i="5"/>
  <c r="N242" i="5"/>
  <c r="N243" i="5"/>
  <c r="N244" i="5"/>
  <c r="N245" i="5"/>
  <c r="D246" i="5"/>
  <c r="E246" i="5" s="1"/>
  <c r="G246" i="5" s="1"/>
  <c r="N246" i="5"/>
  <c r="V246" i="5"/>
  <c r="Y246" i="5"/>
  <c r="N247" i="5"/>
  <c r="N248" i="5"/>
  <c r="N249" i="5"/>
  <c r="N250" i="5"/>
  <c r="N251" i="5"/>
  <c r="N252" i="5"/>
  <c r="D46" i="5"/>
  <c r="E46" i="5" s="1"/>
  <c r="G46" i="5" s="1"/>
  <c r="N46" i="5"/>
  <c r="V46" i="5"/>
  <c r="Y46" i="5"/>
  <c r="N47" i="5"/>
  <c r="N48" i="5"/>
  <c r="N49" i="5"/>
  <c r="N50" i="5"/>
  <c r="N51" i="5"/>
  <c r="N52" i="5"/>
  <c r="D54" i="5"/>
  <c r="E54" i="5" s="1"/>
  <c r="G54" i="5" s="1"/>
  <c r="N54" i="5"/>
  <c r="V54" i="5"/>
  <c r="Y54" i="5"/>
  <c r="N55" i="5"/>
  <c r="N56" i="5"/>
  <c r="N57" i="5"/>
  <c r="N58" i="5"/>
  <c r="N59" i="5"/>
  <c r="N60" i="5"/>
  <c r="D61" i="5"/>
  <c r="E61" i="5" s="1"/>
  <c r="G61" i="5" s="1"/>
  <c r="N61" i="5"/>
  <c r="V61" i="5"/>
  <c r="Y61" i="5"/>
  <c r="N62" i="5"/>
  <c r="N63" i="5"/>
  <c r="N64" i="5"/>
  <c r="N65" i="5"/>
  <c r="N66" i="5"/>
  <c r="N67" i="5"/>
  <c r="D68" i="5"/>
  <c r="E68" i="5"/>
  <c r="G68" i="5" s="1"/>
  <c r="N68" i="5"/>
  <c r="V68" i="5"/>
  <c r="Y68" i="5"/>
  <c r="N69" i="5"/>
  <c r="N70" i="5"/>
  <c r="N71" i="5"/>
  <c r="N72" i="5"/>
  <c r="N73" i="5"/>
  <c r="N74" i="5"/>
  <c r="D75" i="5"/>
  <c r="E75" i="5" s="1"/>
  <c r="G75" i="5" s="1"/>
  <c r="N75" i="5"/>
  <c r="V75" i="5"/>
  <c r="Y75" i="5"/>
  <c r="N76" i="5"/>
  <c r="N77" i="5"/>
  <c r="N78" i="5"/>
  <c r="N79" i="5"/>
  <c r="N80" i="5"/>
  <c r="N81" i="5"/>
  <c r="D82" i="5"/>
  <c r="E82" i="5" s="1"/>
  <c r="G82" i="5" s="1"/>
  <c r="N82" i="5"/>
  <c r="V82" i="5"/>
  <c r="Y82" i="5"/>
  <c r="N83" i="5"/>
  <c r="N84" i="5"/>
  <c r="N85" i="5"/>
  <c r="N86" i="5"/>
  <c r="N87" i="5"/>
  <c r="N88" i="5"/>
  <c r="D89" i="5"/>
  <c r="E89" i="5" s="1"/>
  <c r="G89" i="5" s="1"/>
  <c r="N89" i="5"/>
  <c r="V89" i="5"/>
  <c r="Y89" i="5"/>
  <c r="N90" i="5"/>
  <c r="N91" i="5"/>
  <c r="N92" i="5"/>
  <c r="N93" i="5"/>
  <c r="N94" i="5"/>
  <c r="N95" i="5"/>
  <c r="D96" i="5"/>
  <c r="E96" i="5" s="1"/>
  <c r="G96" i="5" s="1"/>
  <c r="N96" i="5"/>
  <c r="V96" i="5"/>
  <c r="Y96" i="5"/>
  <c r="N97" i="5"/>
  <c r="N98" i="5"/>
  <c r="N99" i="5"/>
  <c r="N100" i="5"/>
  <c r="N101" i="5"/>
  <c r="N102" i="5"/>
  <c r="D104" i="5"/>
  <c r="E104" i="5" s="1"/>
  <c r="G104" i="5" s="1"/>
  <c r="N104" i="5"/>
  <c r="V104" i="5"/>
  <c r="Y104" i="5"/>
  <c r="N105" i="5"/>
  <c r="N106" i="5"/>
  <c r="N107" i="5"/>
  <c r="N108" i="5"/>
  <c r="N109" i="5"/>
  <c r="N110" i="5"/>
  <c r="D111" i="5"/>
  <c r="E111" i="5"/>
  <c r="G111" i="5" s="1"/>
  <c r="N111" i="5"/>
  <c r="V111" i="5"/>
  <c r="Y111" i="5"/>
  <c r="N112" i="5"/>
  <c r="N113" i="5"/>
  <c r="N114" i="5"/>
  <c r="N115" i="5"/>
  <c r="N116" i="5"/>
  <c r="N117" i="5"/>
  <c r="D118" i="5"/>
  <c r="E118" i="5" s="1"/>
  <c r="G118" i="5" s="1"/>
  <c r="N118" i="5"/>
  <c r="V118" i="5"/>
  <c r="Y118" i="5"/>
  <c r="N119" i="5"/>
  <c r="N120" i="5"/>
  <c r="N121" i="5"/>
  <c r="N122" i="5"/>
  <c r="N123" i="5"/>
  <c r="N124" i="5"/>
  <c r="D125" i="5"/>
  <c r="E125" i="5"/>
  <c r="G125" i="5" s="1"/>
  <c r="N125" i="5"/>
  <c r="V125" i="5"/>
  <c r="Y125" i="5"/>
  <c r="N126" i="5"/>
  <c r="N127" i="5"/>
  <c r="N128" i="5"/>
  <c r="N129" i="5"/>
  <c r="N130" i="5"/>
  <c r="N131" i="5"/>
  <c r="D132" i="5"/>
  <c r="E132" i="5" s="1"/>
  <c r="G132" i="5" s="1"/>
  <c r="N132" i="5"/>
  <c r="V132" i="5"/>
  <c r="Y132" i="5"/>
  <c r="N133" i="5"/>
  <c r="N134" i="5"/>
  <c r="N135" i="5"/>
  <c r="N136" i="5"/>
  <c r="N137" i="5"/>
  <c r="N138" i="5"/>
  <c r="D139" i="5"/>
  <c r="E139" i="5" s="1"/>
  <c r="G139" i="5" s="1"/>
  <c r="N139" i="5"/>
  <c r="V139" i="5"/>
  <c r="Y139" i="5"/>
  <c r="N140" i="5"/>
  <c r="N141" i="5"/>
  <c r="N142" i="5"/>
  <c r="N143" i="5"/>
  <c r="N144" i="5"/>
  <c r="N145" i="5"/>
  <c r="D146" i="5"/>
  <c r="E146" i="5" s="1"/>
  <c r="G146" i="5" s="1"/>
  <c r="N146" i="5"/>
  <c r="V146" i="5"/>
  <c r="Y146" i="5"/>
  <c r="N147" i="5"/>
  <c r="N148" i="5"/>
  <c r="N149" i="5"/>
  <c r="N150" i="5"/>
  <c r="N151" i="5"/>
  <c r="N152" i="5"/>
  <c r="N45" i="5"/>
  <c r="N44" i="5"/>
  <c r="N43" i="5"/>
  <c r="N42" i="5"/>
  <c r="N41" i="5"/>
  <c r="N40" i="5"/>
  <c r="Y39" i="5"/>
  <c r="V39" i="5"/>
  <c r="N39" i="5"/>
  <c r="D39" i="5"/>
  <c r="E39" i="5" s="1"/>
  <c r="G39" i="5" s="1"/>
  <c r="N38" i="5"/>
  <c r="N37" i="5"/>
  <c r="N36" i="5"/>
  <c r="N35" i="5"/>
  <c r="N34" i="5"/>
  <c r="N33" i="5"/>
  <c r="Y32" i="5"/>
  <c r="V32" i="5"/>
  <c r="N32" i="5"/>
  <c r="D32" i="5"/>
  <c r="E32" i="5" s="1"/>
  <c r="G32" i="5" s="1"/>
  <c r="N31" i="5"/>
  <c r="N30" i="5"/>
  <c r="N29" i="5"/>
  <c r="N28" i="5"/>
  <c r="N27" i="5"/>
  <c r="N26" i="5"/>
  <c r="Y25" i="5"/>
  <c r="V25" i="5"/>
  <c r="N25" i="5"/>
  <c r="D25" i="5"/>
  <c r="E25" i="5" s="1"/>
  <c r="G25" i="5" s="1"/>
  <c r="N24" i="5"/>
  <c r="N23" i="5"/>
  <c r="N22" i="5"/>
  <c r="N21" i="5"/>
  <c r="N20" i="5"/>
  <c r="N19" i="5"/>
  <c r="Y18" i="5"/>
  <c r="V18" i="5"/>
  <c r="N18" i="5"/>
  <c r="D18" i="5"/>
  <c r="E18" i="5" s="1"/>
  <c r="G18" i="5" s="1"/>
  <c r="N17" i="5"/>
  <c r="N16" i="5"/>
  <c r="N15" i="5"/>
  <c r="N14" i="5"/>
  <c r="N13" i="5"/>
  <c r="N12" i="5"/>
  <c r="Y11" i="5"/>
  <c r="V11" i="5"/>
  <c r="N11" i="5"/>
  <c r="D11" i="5"/>
  <c r="E11" i="5" s="1"/>
  <c r="G11" i="5" s="1"/>
  <c r="N10" i="5"/>
  <c r="N9" i="5"/>
  <c r="N8" i="5"/>
  <c r="N7" i="5"/>
  <c r="N6" i="5"/>
  <c r="N5" i="5"/>
  <c r="Y4" i="5"/>
  <c r="V4" i="5"/>
  <c r="N4" i="5"/>
  <c r="D4" i="5"/>
  <c r="E4" i="5" s="1"/>
  <c r="G4" i="5" s="1"/>
  <c r="N126" i="4"/>
  <c r="D183" i="4"/>
  <c r="E183" i="4" s="1"/>
  <c r="G183" i="4" s="1"/>
  <c r="N183" i="4"/>
  <c r="V183" i="4"/>
  <c r="Y183" i="4"/>
  <c r="N184" i="4"/>
  <c r="N185" i="4"/>
  <c r="N186" i="4"/>
  <c r="N187" i="4"/>
  <c r="N188" i="4"/>
  <c r="N189" i="4"/>
  <c r="D190" i="4"/>
  <c r="E190" i="4" s="1"/>
  <c r="G190" i="4" s="1"/>
  <c r="N190" i="4"/>
  <c r="V190" i="4"/>
  <c r="Y190" i="4"/>
  <c r="N191" i="4"/>
  <c r="N192" i="4"/>
  <c r="N193" i="4"/>
  <c r="N194" i="4"/>
  <c r="N195" i="4"/>
  <c r="N196" i="4"/>
  <c r="D197" i="4"/>
  <c r="E197" i="4" s="1"/>
  <c r="G197" i="4" s="1"/>
  <c r="N197" i="4"/>
  <c r="V197" i="4"/>
  <c r="Y197" i="4"/>
  <c r="N198" i="4"/>
  <c r="N199" i="4"/>
  <c r="N200" i="4"/>
  <c r="N201" i="4"/>
  <c r="N202" i="4"/>
  <c r="N203" i="4"/>
  <c r="D204" i="4"/>
  <c r="E204" i="4"/>
  <c r="G204" i="4" s="1"/>
  <c r="G225" i="4" s="1"/>
  <c r="N204" i="4"/>
  <c r="V204" i="4"/>
  <c r="Y204" i="4"/>
  <c r="N205" i="4"/>
  <c r="N206" i="4"/>
  <c r="N207" i="4"/>
  <c r="N208" i="4"/>
  <c r="N209" i="4"/>
  <c r="N210" i="4"/>
  <c r="D211" i="4"/>
  <c r="E211" i="4" s="1"/>
  <c r="G211" i="4" s="1"/>
  <c r="N211" i="4"/>
  <c r="V211" i="4"/>
  <c r="Y211" i="4"/>
  <c r="N212" i="4"/>
  <c r="N213" i="4"/>
  <c r="N214" i="4"/>
  <c r="N215" i="4"/>
  <c r="N216" i="4"/>
  <c r="N217" i="4"/>
  <c r="D218" i="4"/>
  <c r="E218" i="4" s="1"/>
  <c r="G218" i="4" s="1"/>
  <c r="N218" i="4"/>
  <c r="V218" i="4"/>
  <c r="Y218" i="4"/>
  <c r="N219" i="4"/>
  <c r="N220" i="4"/>
  <c r="N221" i="4"/>
  <c r="N222" i="4"/>
  <c r="N223" i="4"/>
  <c r="N224" i="4"/>
  <c r="D140" i="4"/>
  <c r="E140" i="4" s="1"/>
  <c r="G140" i="4" s="1"/>
  <c r="N140" i="4"/>
  <c r="V140" i="4"/>
  <c r="Y140" i="4"/>
  <c r="N141" i="4"/>
  <c r="N142" i="4"/>
  <c r="N143" i="4"/>
  <c r="N144" i="4"/>
  <c r="N145" i="4"/>
  <c r="N146" i="4"/>
  <c r="D147" i="4"/>
  <c r="E147" i="4"/>
  <c r="G147" i="4" s="1"/>
  <c r="N147" i="4"/>
  <c r="V147" i="4"/>
  <c r="Y147" i="4"/>
  <c r="N148" i="4"/>
  <c r="N149" i="4"/>
  <c r="N150" i="4"/>
  <c r="N151" i="4"/>
  <c r="N152" i="4"/>
  <c r="N153" i="4"/>
  <c r="D154" i="4"/>
  <c r="E154" i="4" s="1"/>
  <c r="G154" i="4" s="1"/>
  <c r="G175" i="4" s="1"/>
  <c r="N154" i="4"/>
  <c r="V154" i="4"/>
  <c r="Y154" i="4"/>
  <c r="N155" i="4"/>
  <c r="N156" i="4"/>
  <c r="N157" i="4"/>
  <c r="N158" i="4"/>
  <c r="N159" i="4"/>
  <c r="N160" i="4"/>
  <c r="D161" i="4"/>
  <c r="E161" i="4" s="1"/>
  <c r="G161" i="4" s="1"/>
  <c r="N161" i="4"/>
  <c r="V161" i="4"/>
  <c r="Y161" i="4"/>
  <c r="N162" i="4"/>
  <c r="N163" i="4"/>
  <c r="N164" i="4"/>
  <c r="N165" i="4"/>
  <c r="N166" i="4"/>
  <c r="N167" i="4"/>
  <c r="D168" i="4"/>
  <c r="E168" i="4" s="1"/>
  <c r="G168" i="4" s="1"/>
  <c r="N168" i="4"/>
  <c r="V168" i="4"/>
  <c r="Y168" i="4"/>
  <c r="N169" i="4"/>
  <c r="N170" i="4"/>
  <c r="N171" i="4"/>
  <c r="N172" i="4"/>
  <c r="N173" i="4"/>
  <c r="N174" i="4"/>
  <c r="D176" i="4"/>
  <c r="E176" i="4" s="1"/>
  <c r="G176" i="4" s="1"/>
  <c r="N176" i="4"/>
  <c r="V176" i="4"/>
  <c r="Y176" i="4"/>
  <c r="N177" i="4"/>
  <c r="N178" i="4"/>
  <c r="N179" i="4"/>
  <c r="N180" i="4"/>
  <c r="N181" i="4"/>
  <c r="N182" i="4"/>
  <c r="D104" i="4"/>
  <c r="E104" i="4" s="1"/>
  <c r="G104" i="4" s="1"/>
  <c r="N104" i="4"/>
  <c r="V104" i="4"/>
  <c r="Y104" i="4"/>
  <c r="N105" i="4"/>
  <c r="N106" i="4"/>
  <c r="N107" i="4"/>
  <c r="N108" i="4"/>
  <c r="N109" i="4"/>
  <c r="N110" i="4"/>
  <c r="D111" i="4"/>
  <c r="E111" i="4" s="1"/>
  <c r="G111" i="4" s="1"/>
  <c r="N111" i="4"/>
  <c r="V111" i="4"/>
  <c r="Y111" i="4"/>
  <c r="N112" i="4"/>
  <c r="N113" i="4"/>
  <c r="N114" i="4"/>
  <c r="N115" i="4"/>
  <c r="N116" i="4"/>
  <c r="N117" i="4"/>
  <c r="D118" i="4"/>
  <c r="E118" i="4" s="1"/>
  <c r="G118" i="4" s="1"/>
  <c r="N118" i="4"/>
  <c r="V118" i="4"/>
  <c r="Y118" i="4"/>
  <c r="N119" i="4"/>
  <c r="N120" i="4"/>
  <c r="N121" i="4"/>
  <c r="N122" i="4"/>
  <c r="N123" i="4"/>
  <c r="N124" i="4"/>
  <c r="D126" i="4"/>
  <c r="E126" i="4"/>
  <c r="G126" i="4" s="1"/>
  <c r="V126" i="4"/>
  <c r="Y126" i="4"/>
  <c r="N127" i="4"/>
  <c r="N128" i="4"/>
  <c r="N129" i="4"/>
  <c r="N130" i="4"/>
  <c r="N131" i="4"/>
  <c r="N132" i="4"/>
  <c r="D133" i="4"/>
  <c r="E133" i="4" s="1"/>
  <c r="G133" i="4" s="1"/>
  <c r="N133" i="4"/>
  <c r="V133" i="4"/>
  <c r="Y133" i="4"/>
  <c r="N134" i="4"/>
  <c r="N135" i="4"/>
  <c r="N136" i="4"/>
  <c r="N137" i="4"/>
  <c r="N138" i="4"/>
  <c r="N139" i="4"/>
  <c r="D68" i="4"/>
  <c r="E68" i="4" s="1"/>
  <c r="G68" i="4" s="1"/>
  <c r="N68" i="4"/>
  <c r="V68" i="4"/>
  <c r="Y68" i="4"/>
  <c r="N69" i="4"/>
  <c r="N70" i="4"/>
  <c r="N71" i="4"/>
  <c r="N72" i="4"/>
  <c r="N73" i="4"/>
  <c r="N74" i="4"/>
  <c r="D76" i="4"/>
  <c r="E76" i="4"/>
  <c r="G76" i="4" s="1"/>
  <c r="N76" i="4"/>
  <c r="V76" i="4"/>
  <c r="Y76" i="4"/>
  <c r="N77" i="4"/>
  <c r="N78" i="4"/>
  <c r="N79" i="4"/>
  <c r="N80" i="4"/>
  <c r="N81" i="4"/>
  <c r="N82" i="4"/>
  <c r="D83" i="4"/>
  <c r="E83" i="4" s="1"/>
  <c r="G83" i="4" s="1"/>
  <c r="N83" i="4"/>
  <c r="V83" i="4"/>
  <c r="Y83" i="4"/>
  <c r="N84" i="4"/>
  <c r="N85" i="4"/>
  <c r="N86" i="4"/>
  <c r="N87" i="4"/>
  <c r="N88" i="4"/>
  <c r="N89" i="4"/>
  <c r="D90" i="4"/>
  <c r="E90" i="4" s="1"/>
  <c r="G90" i="4" s="1"/>
  <c r="N90" i="4"/>
  <c r="V90" i="4"/>
  <c r="Y90" i="4"/>
  <c r="N91" i="4"/>
  <c r="N92" i="4"/>
  <c r="N93" i="4"/>
  <c r="N94" i="4"/>
  <c r="N95" i="4"/>
  <c r="N96" i="4"/>
  <c r="D97" i="4"/>
  <c r="E97" i="4" s="1"/>
  <c r="G97" i="4" s="1"/>
  <c r="N97" i="4"/>
  <c r="V97" i="4"/>
  <c r="Y97" i="4"/>
  <c r="N98" i="4"/>
  <c r="N99" i="4"/>
  <c r="N100" i="4"/>
  <c r="N101" i="4"/>
  <c r="N102" i="4"/>
  <c r="N103" i="4"/>
  <c r="D40" i="4"/>
  <c r="E40" i="4" s="1"/>
  <c r="G40" i="4" s="1"/>
  <c r="N40" i="4"/>
  <c r="V40" i="4"/>
  <c r="Y40" i="4"/>
  <c r="N41" i="4"/>
  <c r="N42" i="4"/>
  <c r="N43" i="4"/>
  <c r="N44" i="4"/>
  <c r="N45" i="4"/>
  <c r="N46" i="4"/>
  <c r="D47" i="4"/>
  <c r="E47" i="4"/>
  <c r="G47" i="4" s="1"/>
  <c r="N47" i="4"/>
  <c r="V47" i="4"/>
  <c r="Y47" i="4"/>
  <c r="N48" i="4"/>
  <c r="N49" i="4"/>
  <c r="N50" i="4"/>
  <c r="N51" i="4"/>
  <c r="N52" i="4"/>
  <c r="N53" i="4"/>
  <c r="D54" i="4"/>
  <c r="E54" i="4" s="1"/>
  <c r="G54" i="4" s="1"/>
  <c r="N54" i="4"/>
  <c r="V54" i="4"/>
  <c r="Y54" i="4"/>
  <c r="N55" i="4"/>
  <c r="N56" i="4"/>
  <c r="N57" i="4"/>
  <c r="N58" i="4"/>
  <c r="N59" i="4"/>
  <c r="N60" i="4"/>
  <c r="D61" i="4"/>
  <c r="E61" i="4" s="1"/>
  <c r="G61" i="4" s="1"/>
  <c r="N61" i="4"/>
  <c r="V61" i="4"/>
  <c r="Y61" i="4"/>
  <c r="N62" i="4"/>
  <c r="N63" i="4"/>
  <c r="N64" i="4"/>
  <c r="N65" i="4"/>
  <c r="N66" i="4"/>
  <c r="N67" i="4"/>
  <c r="N39" i="4"/>
  <c r="N38" i="4"/>
  <c r="N37" i="4"/>
  <c r="N36" i="4"/>
  <c r="N35" i="4"/>
  <c r="N34" i="4"/>
  <c r="Y33" i="4"/>
  <c r="V33" i="4"/>
  <c r="N33" i="4"/>
  <c r="D33" i="4"/>
  <c r="E33" i="4" s="1"/>
  <c r="G33" i="4" s="1"/>
  <c r="N32" i="4"/>
  <c r="N31" i="4"/>
  <c r="N30" i="4"/>
  <c r="N29" i="4"/>
  <c r="N28" i="4"/>
  <c r="N27" i="4"/>
  <c r="Y26" i="4"/>
  <c r="V26" i="4"/>
  <c r="N26" i="4"/>
  <c r="D26" i="4"/>
  <c r="E26" i="4" s="1"/>
  <c r="G26" i="4" s="1"/>
  <c r="N24" i="4"/>
  <c r="N23" i="4"/>
  <c r="N22" i="4"/>
  <c r="N21" i="4"/>
  <c r="N20" i="4"/>
  <c r="N19" i="4"/>
  <c r="Y18" i="4"/>
  <c r="V18" i="4"/>
  <c r="N18" i="4"/>
  <c r="D18" i="4"/>
  <c r="E18" i="4" s="1"/>
  <c r="G18" i="4" s="1"/>
  <c r="N17" i="4"/>
  <c r="N16" i="4"/>
  <c r="N15" i="4"/>
  <c r="N14" i="4"/>
  <c r="N13" i="4"/>
  <c r="N12" i="4"/>
  <c r="Y11" i="4"/>
  <c r="V11" i="4"/>
  <c r="N11" i="4"/>
  <c r="D11" i="4"/>
  <c r="E11" i="4" s="1"/>
  <c r="G11" i="4" s="1"/>
  <c r="N8" i="4"/>
  <c r="N9" i="4"/>
  <c r="N10" i="4"/>
  <c r="V4" i="4"/>
  <c r="Y4" i="4"/>
  <c r="S28" i="1"/>
  <c r="U28" i="1" s="1"/>
  <c r="N5" i="4"/>
  <c r="N6" i="4"/>
  <c r="N7" i="4"/>
  <c r="N4" i="4"/>
  <c r="D4" i="4"/>
  <c r="E4" i="4" s="1"/>
  <c r="G4" i="4" s="1"/>
  <c r="O125" i="5" l="1"/>
  <c r="O68" i="5"/>
  <c r="O146" i="5"/>
  <c r="Z146" i="5" s="1"/>
  <c r="O89" i="5"/>
  <c r="Z89" i="5" s="1"/>
  <c r="O182" i="5"/>
  <c r="O161" i="5"/>
  <c r="O132" i="5"/>
  <c r="Z132" i="5" s="1"/>
  <c r="O111" i="5"/>
  <c r="Z111" i="5" s="1"/>
  <c r="O75" i="5"/>
  <c r="Z75" i="5" s="1"/>
  <c r="O54" i="5"/>
  <c r="Z54" i="5" s="1"/>
  <c r="O225" i="5"/>
  <c r="O204" i="5"/>
  <c r="O168" i="5"/>
  <c r="O239" i="5"/>
  <c r="Z239" i="5" s="1"/>
  <c r="O118" i="5"/>
  <c r="O96" i="5"/>
  <c r="Z96" i="5" s="1"/>
  <c r="O61" i="5"/>
  <c r="Z61" i="5" s="1"/>
  <c r="O246" i="5"/>
  <c r="Z246" i="5" s="1"/>
  <c r="Z225" i="5"/>
  <c r="O211" i="5"/>
  <c r="O189" i="5"/>
  <c r="Z168" i="5"/>
  <c r="O154" i="5"/>
  <c r="O218" i="5"/>
  <c r="Z218" i="5" s="1"/>
  <c r="Z161" i="5"/>
  <c r="O139" i="5"/>
  <c r="Z139" i="5" s="1"/>
  <c r="Z118" i="5"/>
  <c r="O104" i="5"/>
  <c r="Z104" i="5" s="1"/>
  <c r="O82" i="5"/>
  <c r="O46" i="5"/>
  <c r="O232" i="5"/>
  <c r="Z232" i="5" s="1"/>
  <c r="Z211" i="5"/>
  <c r="O196" i="5"/>
  <c r="Z196" i="5" s="1"/>
  <c r="O175" i="5"/>
  <c r="Z175" i="5" s="1"/>
  <c r="Z154" i="5"/>
  <c r="Z204" i="5"/>
  <c r="Z182" i="5"/>
  <c r="Z189" i="5"/>
  <c r="Z82" i="5"/>
  <c r="Z125" i="5"/>
  <c r="Z68" i="5"/>
  <c r="O4" i="5"/>
  <c r="O18" i="5"/>
  <c r="Z18" i="5" s="1"/>
  <c r="Z39" i="5"/>
  <c r="O11" i="5"/>
  <c r="Z11" i="5" s="1"/>
  <c r="O39" i="5"/>
  <c r="O32" i="5"/>
  <c r="Z32" i="5" s="1"/>
  <c r="Z4" i="5"/>
  <c r="Z25" i="5"/>
  <c r="O25" i="5"/>
  <c r="G75" i="4"/>
  <c r="G125" i="4"/>
  <c r="O211" i="4"/>
  <c r="Z211" i="4" s="1"/>
  <c r="O126" i="4"/>
  <c r="O218" i="4"/>
  <c r="Z218" i="4" s="1"/>
  <c r="O147" i="4"/>
  <c r="O197" i="4"/>
  <c r="Z197" i="4" s="1"/>
  <c r="O154" i="4"/>
  <c r="O204" i="4"/>
  <c r="O183" i="4"/>
  <c r="O176" i="4"/>
  <c r="Z176" i="4" s="1"/>
  <c r="O190" i="4"/>
  <c r="Z190" i="4" s="1"/>
  <c r="O168" i="4"/>
  <c r="Z147" i="4"/>
  <c r="O161" i="4"/>
  <c r="Z161" i="4" s="1"/>
  <c r="O104" i="4"/>
  <c r="Z104" i="4" s="1"/>
  <c r="O111" i="4"/>
  <c r="O33" i="4"/>
  <c r="Z33" i="4" s="1"/>
  <c r="O133" i="4"/>
  <c r="Z133" i="4" s="1"/>
  <c r="O118" i="4"/>
  <c r="Z118" i="4" s="1"/>
  <c r="O140" i="4"/>
  <c r="Z140" i="4" s="1"/>
  <c r="O54" i="4"/>
  <c r="O61" i="4"/>
  <c r="Z61" i="4" s="1"/>
  <c r="O97" i="4"/>
  <c r="Z97" i="4" s="1"/>
  <c r="O68" i="4"/>
  <c r="Z68" i="4" s="1"/>
  <c r="O40" i="4"/>
  <c r="Z40" i="4" s="1"/>
  <c r="O90" i="4"/>
  <c r="Z90" i="4" s="1"/>
  <c r="O76" i="4"/>
  <c r="Z76" i="4" s="1"/>
  <c r="O47" i="4"/>
  <c r="Z47" i="4" s="1"/>
  <c r="O83" i="4"/>
  <c r="Z83" i="4" s="1"/>
  <c r="Z183" i="4"/>
  <c r="Z154" i="4"/>
  <c r="Z168" i="4"/>
  <c r="Z126" i="4"/>
  <c r="Z111" i="4"/>
  <c r="G25" i="4"/>
  <c r="O26" i="4"/>
  <c r="Z26" i="4" s="1"/>
  <c r="O18" i="4"/>
  <c r="Z18" i="4" s="1"/>
  <c r="O11" i="4"/>
  <c r="Z11" i="4" s="1"/>
  <c r="O4" i="4"/>
  <c r="Z46" i="5" l="1"/>
  <c r="Z53" i="5" s="1"/>
  <c r="O53" i="5"/>
  <c r="Z175" i="4"/>
  <c r="Z204" i="4"/>
  <c r="Z225" i="4" s="1"/>
  <c r="O225" i="4"/>
  <c r="O175" i="4"/>
  <c r="Z125" i="4"/>
  <c r="O125" i="4"/>
  <c r="O75" i="4"/>
  <c r="Z54" i="4"/>
  <c r="Z75" i="4" s="1"/>
  <c r="Z4" i="4"/>
  <c r="Z25" i="4" s="1"/>
  <c r="O25" i="4"/>
  <c r="T28" i="1" l="1"/>
  <c r="T120" i="1"/>
  <c r="T92" i="1"/>
  <c r="T64" i="1"/>
  <c r="R120" i="1"/>
  <c r="R92" i="1"/>
  <c r="R64" i="1"/>
  <c r="R28" i="1"/>
  <c r="D8" i="1"/>
  <c r="D12" i="1"/>
  <c r="E12" i="1" s="1"/>
  <c r="G12" i="1" s="1"/>
  <c r="D16" i="1"/>
  <c r="E16" i="1" s="1"/>
  <c r="G16" i="1" s="1"/>
  <c r="D20" i="1"/>
  <c r="E20" i="1" s="1"/>
  <c r="G20" i="1" s="1"/>
  <c r="D24" i="1"/>
  <c r="D32" i="1"/>
  <c r="E32" i="1" s="1"/>
  <c r="G32" i="1" s="1"/>
  <c r="D36" i="1"/>
  <c r="E36" i="1" s="1"/>
  <c r="G36" i="1" s="1"/>
  <c r="D40" i="1"/>
  <c r="E40" i="1" s="1"/>
  <c r="G40" i="1" s="1"/>
  <c r="D44" i="1"/>
  <c r="E44" i="1" s="1"/>
  <c r="G44" i="1" s="1"/>
  <c r="D48" i="1"/>
  <c r="E48" i="1" s="1"/>
  <c r="G48" i="1" s="1"/>
  <c r="D52" i="1"/>
  <c r="E52" i="1" s="1"/>
  <c r="G52" i="1" s="1"/>
  <c r="D56" i="1"/>
  <c r="E56" i="1" s="1"/>
  <c r="G56" i="1" s="1"/>
  <c r="D60" i="1"/>
  <c r="E60" i="1" s="1"/>
  <c r="G60" i="1" s="1"/>
  <c r="D68" i="1"/>
  <c r="E68" i="1" s="1"/>
  <c r="G68" i="1" s="1"/>
  <c r="D72" i="1"/>
  <c r="E72" i="1" s="1"/>
  <c r="G72" i="1" s="1"/>
  <c r="D76" i="1"/>
  <c r="E76" i="1" s="1"/>
  <c r="G76" i="1" s="1"/>
  <c r="D80" i="1"/>
  <c r="E80" i="1" s="1"/>
  <c r="G80" i="1" s="1"/>
  <c r="D84" i="1"/>
  <c r="E84" i="1" s="1"/>
  <c r="G84" i="1" s="1"/>
  <c r="D88" i="1"/>
  <c r="E88" i="1" s="1"/>
  <c r="G88" i="1" s="1"/>
  <c r="D96" i="1"/>
  <c r="E96" i="1" s="1"/>
  <c r="G96" i="1" s="1"/>
  <c r="D100" i="1"/>
  <c r="E100" i="1" s="1"/>
  <c r="G100" i="1" s="1"/>
  <c r="D104" i="1"/>
  <c r="E104" i="1" s="1"/>
  <c r="G104" i="1" s="1"/>
  <c r="D108" i="1"/>
  <c r="E108" i="1" s="1"/>
  <c r="G108" i="1" s="1"/>
  <c r="D112" i="1"/>
  <c r="E112" i="1" s="1"/>
  <c r="G112" i="1" s="1"/>
  <c r="D116" i="1"/>
  <c r="E116" i="1" s="1"/>
  <c r="G116" i="1" s="1"/>
  <c r="E24" i="1"/>
  <c r="G24" i="1" s="1"/>
  <c r="E8" i="1" l="1"/>
  <c r="G8" i="1" s="1"/>
  <c r="G120" i="1"/>
  <c r="S120" i="1" s="1"/>
  <c r="U120" i="1" s="1"/>
  <c r="G64" i="1"/>
  <c r="S64" i="1" s="1"/>
  <c r="U64" i="1" s="1"/>
  <c r="G92" i="1"/>
  <c r="S92" i="1" s="1"/>
  <c r="U92" i="1" s="1"/>
  <c r="D4" i="1"/>
  <c r="E4" i="1" s="1"/>
  <c r="G4" i="1" s="1"/>
  <c r="G28" i="1" l="1"/>
</calcChain>
</file>

<file path=xl/comments1.xml><?xml version="1.0" encoding="utf-8"?>
<comments xmlns="http://schemas.openxmlformats.org/spreadsheetml/2006/main">
  <authors>
    <author>Erdősy Orsolya</author>
  </authors>
  <commentList>
    <comment ref="E3" authorId="0" shapeId="0">
      <text>
        <r>
          <rPr>
            <b/>
            <sz val="16"/>
            <color indexed="81"/>
            <rFont val="Calibri"/>
            <family val="2"/>
            <charset val="238"/>
            <scheme val="minor"/>
          </rPr>
          <t xml:space="preserve">Erdősy Orsolya:
</t>
        </r>
        <r>
          <rPr>
            <sz val="16"/>
            <color indexed="81"/>
            <rFont val="Calibri"/>
            <family val="2"/>
            <charset val="238"/>
            <scheme val="minor"/>
          </rPr>
          <t xml:space="preserve">
kézzel kell begépelni az óra/ percről átváltott számértéket 
az "idő átváltása számra" táblázat alapján 
(az excel sajnos nem tudja átváltani)</t>
        </r>
      </text>
    </comment>
  </commentList>
</comments>
</file>

<file path=xl/comments2.xml><?xml version="1.0" encoding="utf-8"?>
<comments xmlns="http://schemas.openxmlformats.org/spreadsheetml/2006/main">
  <authors>
    <author>Erdősy Orsolya</author>
  </authors>
  <commentList>
    <comment ref="E3" authorId="0" shapeId="0">
      <text>
        <r>
          <rPr>
            <b/>
            <sz val="16"/>
            <color indexed="81"/>
            <rFont val="Calibri"/>
            <family val="2"/>
            <charset val="238"/>
            <scheme val="minor"/>
          </rPr>
          <t xml:space="preserve">Erdősy Orsolya:
</t>
        </r>
        <r>
          <rPr>
            <sz val="16"/>
            <color indexed="81"/>
            <rFont val="Calibri"/>
            <family val="2"/>
            <charset val="238"/>
            <scheme val="minor"/>
          </rPr>
          <t xml:space="preserve">
kézzel kell begépelni az óra/ percről átváltott számértéket 
az "idő átváltása számra" táblázat alapján 
(az excel sajnos nem tudja átváltani)</t>
        </r>
      </text>
    </comment>
  </commentList>
</comments>
</file>

<file path=xl/comments3.xml><?xml version="1.0" encoding="utf-8"?>
<comments xmlns="http://schemas.openxmlformats.org/spreadsheetml/2006/main">
  <authors>
    <author>Erdősy Orsolya</author>
  </authors>
  <commentList>
    <comment ref="E3" authorId="0" shapeId="0">
      <text>
        <r>
          <rPr>
            <b/>
            <sz val="16"/>
            <color indexed="81"/>
            <rFont val="Calibri"/>
            <family val="2"/>
            <charset val="238"/>
            <scheme val="minor"/>
          </rPr>
          <t xml:space="preserve">Erdősy Orsolya:
</t>
        </r>
        <r>
          <rPr>
            <sz val="16"/>
            <color indexed="81"/>
            <rFont val="Calibri"/>
            <family val="2"/>
            <charset val="238"/>
            <scheme val="minor"/>
          </rPr>
          <t xml:space="preserve">
kézzel kell begépelni az óra/ percről átváltott számértéket 
az "idő átváltása számra" táblázat alapján 
(az excel sajnos nem tudja átváltani)</t>
        </r>
      </text>
    </comment>
  </commentList>
</comments>
</file>

<file path=xl/sharedStrings.xml><?xml version="1.0" encoding="utf-8"?>
<sst xmlns="http://schemas.openxmlformats.org/spreadsheetml/2006/main" count="96" uniqueCount="39">
  <si>
    <t>dátum</t>
  </si>
  <si>
    <t>kezdés</t>
  </si>
  <si>
    <t>vége</t>
  </si>
  <si>
    <t>Ft</t>
  </si>
  <si>
    <t xml:space="preserve">R404a Gáz Ára a Hűtőből </t>
  </si>
  <si>
    <t>Végösszeg</t>
  </si>
  <si>
    <t>munka megnevezése</t>
  </si>
  <si>
    <t>átutalás</t>
  </si>
  <si>
    <t>bevétel</t>
  </si>
  <si>
    <t>berendezés</t>
  </si>
  <si>
    <t>anyag ár összesen</t>
  </si>
  <si>
    <t>órák száma</t>
  </si>
  <si>
    <t xml:space="preserve">munkaóra </t>
  </si>
  <si>
    <t xml:space="preserve">óradíj </t>
  </si>
  <si>
    <t>munkadíj</t>
  </si>
  <si>
    <t>felhasznált anyag</t>
  </si>
  <si>
    <t>anyag ár</t>
  </si>
  <si>
    <t>db/kg</t>
  </si>
  <si>
    <t>cím / telephely</t>
  </si>
  <si>
    <t>fizettek / nem fizettek</t>
  </si>
  <si>
    <t>kp (készpénz) / átutalás</t>
  </si>
  <si>
    <t>kiadás / anyagvásárlás</t>
  </si>
  <si>
    <t xml:space="preserve">Elszámolás Viktor_2019                                                                                                                                               </t>
  </si>
  <si>
    <t>ZÁRÁS</t>
  </si>
  <si>
    <t xml:space="preserve">egység ár </t>
  </si>
  <si>
    <t>db,kg</t>
  </si>
  <si>
    <t>ár</t>
  </si>
  <si>
    <t xml:space="preserve">115-009/1 szünetmentes York klímagáz csere   103/A132/1    </t>
  </si>
  <si>
    <t xml:space="preserve">R407C hűtőközeg          </t>
  </si>
  <si>
    <t>a végösszegben mi szerepeljen?</t>
  </si>
  <si>
    <t>a sárgával jelölt cellákat hozzá kell adni vagy ki kell vonni a végösszegből?</t>
  </si>
  <si>
    <t>össz bevétel</t>
  </si>
  <si>
    <t>össz kiadás</t>
  </si>
  <si>
    <t>fizettek</t>
  </si>
  <si>
    <t>nem fizettek</t>
  </si>
  <si>
    <t>kp (készpénz)</t>
  </si>
  <si>
    <t>berendezés  ??</t>
  </si>
  <si>
    <t xml:space="preserve">Elszámolás Viktor_2020_július                                                                                                                                               </t>
  </si>
  <si>
    <t xml:space="preserve">Elszámolás Viktor_2020_augusztus                                                                               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</si>
</sst>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h:mm;@"/>
    <numFmt numFmtId="165" formatCode="0;[Red]0"/>
    <numFmt numFmtId="166" formatCode="[$-F800]dddd\,\ mmmm\ dd\,\ yyyy"/>
    <numFmt numFmtId="167" formatCode="#,##0;[Red]#,##0"/>
    <numFmt numFmtId="168" formatCode="#,##0_ ;\-#,##0\ "/>
  </numFmts>
  <fonts count="13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sz val="16"/>
      <color indexed="81"/>
      <name val="Calibri"/>
      <family val="2"/>
      <charset val="238"/>
      <scheme val="minor"/>
    </font>
    <font>
      <sz val="16"/>
      <color indexed="81"/>
      <name val="Calibri"/>
      <family val="2"/>
      <charset val="238"/>
      <scheme val="minor"/>
    </font>
    <font>
      <b/>
      <sz val="16"/>
      <color theme="1"/>
      <name val="Calibri Light"/>
      <family val="2"/>
      <charset val="238"/>
    </font>
    <font>
      <b/>
      <sz val="12"/>
      <name val="Calibri Light"/>
      <family val="2"/>
      <charset val="238"/>
    </font>
    <font>
      <sz val="12"/>
      <color theme="1"/>
      <name val="Calibri Light"/>
      <family val="2"/>
      <charset val="238"/>
    </font>
    <font>
      <b/>
      <sz val="12"/>
      <color theme="1"/>
      <name val="Calibri Light"/>
      <family val="2"/>
      <charset val="238"/>
    </font>
    <font>
      <sz val="12"/>
      <color rgb="FFFF0000"/>
      <name val="Calibri Light"/>
      <family val="2"/>
      <charset val="238"/>
    </font>
    <font>
      <b/>
      <sz val="14"/>
      <color theme="1"/>
      <name val="Calibri Light"/>
      <family val="2"/>
      <charset val="238"/>
    </font>
    <font>
      <b/>
      <sz val="9"/>
      <color theme="1"/>
      <name val="Calibri Light"/>
      <family val="2"/>
      <charset val="238"/>
    </font>
    <font>
      <b/>
      <sz val="9"/>
      <name val="Calibri Light"/>
      <family val="2"/>
      <charset val="238"/>
    </font>
    <font>
      <sz val="9"/>
      <color theme="1"/>
      <name val="Calibri Light"/>
      <family val="2"/>
      <charset val="238"/>
    </font>
  </fonts>
  <fills count="1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5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theme="0" tint="-0.34998626667073579"/>
      </right>
      <top style="medium">
        <color indexed="64"/>
      </top>
      <bottom style="thin">
        <color theme="0" tint="-0.34998626667073579"/>
      </bottom>
      <diagonal/>
    </border>
    <border>
      <left style="thin">
        <color indexed="64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indexed="64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thin">
        <color indexed="64"/>
      </right>
      <top style="thin">
        <color theme="0" tint="-0.34998626667073579"/>
      </top>
      <bottom style="medium">
        <color indexed="64"/>
      </bottom>
      <diagonal/>
    </border>
    <border>
      <left style="thin">
        <color indexed="64"/>
      </left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 style="thin">
        <color indexed="64"/>
      </right>
      <top/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/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 style="thin">
        <color indexed="64"/>
      </right>
      <top style="medium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medium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indexed="64"/>
      </right>
      <top style="medium">
        <color indexed="64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07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left" vertical="center"/>
    </xf>
    <xf numFmtId="0" fontId="6" fillId="0" borderId="0" xfId="0" applyFont="1"/>
    <xf numFmtId="166" fontId="6" fillId="2" borderId="12" xfId="0" applyNumberFormat="1" applyFont="1" applyFill="1" applyBorder="1" applyAlignment="1">
      <alignment horizontal="left" vertical="center"/>
    </xf>
    <xf numFmtId="164" fontId="6" fillId="2" borderId="13" xfId="0" applyNumberFormat="1" applyFont="1" applyFill="1" applyBorder="1" applyAlignment="1">
      <alignment horizontal="center" vertical="center"/>
    </xf>
    <xf numFmtId="2" fontId="6" fillId="5" borderId="13" xfId="0" applyNumberFormat="1" applyFont="1" applyFill="1" applyBorder="1" applyAlignment="1">
      <alignment horizontal="center" vertical="center"/>
    </xf>
    <xf numFmtId="165" fontId="6" fillId="2" borderId="13" xfId="0" applyNumberFormat="1" applyFont="1" applyFill="1" applyBorder="1" applyAlignment="1">
      <alignment horizontal="center" vertical="center"/>
    </xf>
    <xf numFmtId="167" fontId="6" fillId="2" borderId="13" xfId="0" applyNumberFormat="1" applyFont="1" applyFill="1" applyBorder="1" applyAlignment="1">
      <alignment horizontal="center" vertical="center"/>
    </xf>
    <xf numFmtId="167" fontId="6" fillId="2" borderId="33" xfId="0" applyNumberFormat="1" applyFont="1" applyFill="1" applyBorder="1" applyAlignment="1">
      <alignment horizontal="center" vertical="center"/>
    </xf>
    <xf numFmtId="49" fontId="6" fillId="3" borderId="11" xfId="0" applyNumberFormat="1" applyFont="1" applyFill="1" applyBorder="1" applyAlignment="1">
      <alignment horizontal="center" vertical="center" wrapText="1"/>
    </xf>
    <xf numFmtId="167" fontId="6" fillId="3" borderId="11" xfId="0" applyNumberFormat="1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168" fontId="6" fillId="4" borderId="1" xfId="0" applyNumberFormat="1" applyFont="1" applyFill="1" applyBorder="1" applyAlignment="1">
      <alignment horizontal="center" vertical="center" wrapText="1"/>
    </xf>
    <xf numFmtId="167" fontId="6" fillId="2" borderId="24" xfId="0" applyNumberFormat="1" applyFont="1" applyFill="1" applyBorder="1" applyAlignment="1">
      <alignment horizontal="center" vertical="center" wrapText="1"/>
    </xf>
    <xf numFmtId="166" fontId="6" fillId="2" borderId="15" xfId="0" applyNumberFormat="1" applyFont="1" applyFill="1" applyBorder="1" applyAlignment="1">
      <alignment horizontal="left" vertical="center"/>
    </xf>
    <xf numFmtId="164" fontId="6" fillId="2" borderId="7" xfId="0" applyNumberFormat="1" applyFont="1" applyFill="1" applyBorder="1" applyAlignment="1">
      <alignment horizontal="center" vertical="center"/>
    </xf>
    <xf numFmtId="2" fontId="6" fillId="5" borderId="7" xfId="0" applyNumberFormat="1" applyFont="1" applyFill="1" applyBorder="1" applyAlignment="1">
      <alignment horizontal="center" vertical="center"/>
    </xf>
    <xf numFmtId="165" fontId="6" fillId="2" borderId="7" xfId="0" applyNumberFormat="1" applyFont="1" applyFill="1" applyBorder="1" applyAlignment="1">
      <alignment horizontal="center" vertical="center"/>
    </xf>
    <xf numFmtId="167" fontId="6" fillId="2" borderId="7" xfId="0" applyNumberFormat="1" applyFont="1" applyFill="1" applyBorder="1" applyAlignment="1">
      <alignment horizontal="center" vertical="center"/>
    </xf>
    <xf numFmtId="167" fontId="6" fillId="2" borderId="34" xfId="0" applyNumberFormat="1" applyFont="1" applyFill="1" applyBorder="1" applyAlignment="1">
      <alignment horizontal="center" vertical="center"/>
    </xf>
    <xf numFmtId="49" fontId="6" fillId="3" borderId="25" xfId="0" applyNumberFormat="1" applyFont="1" applyFill="1" applyBorder="1" applyAlignment="1">
      <alignment horizontal="center" vertical="center" wrapText="1"/>
    </xf>
    <xf numFmtId="167" fontId="6" fillId="3" borderId="20" xfId="0" applyNumberFormat="1" applyFont="1" applyFill="1" applyBorder="1" applyAlignment="1">
      <alignment horizontal="center" vertical="center" wrapText="1"/>
    </xf>
    <xf numFmtId="0" fontId="6" fillId="4" borderId="27" xfId="0" applyFont="1" applyFill="1" applyBorder="1" applyAlignment="1">
      <alignment horizontal="center" vertical="center" wrapText="1"/>
    </xf>
    <xf numFmtId="168" fontId="6" fillId="4" borderId="29" xfId="0" applyNumberFormat="1" applyFont="1" applyFill="1" applyBorder="1" applyAlignment="1">
      <alignment horizontal="center" vertical="center" wrapText="1"/>
    </xf>
    <xf numFmtId="167" fontId="6" fillId="2" borderId="30" xfId="0" applyNumberFormat="1" applyFont="1" applyFill="1" applyBorder="1" applyAlignment="1">
      <alignment horizontal="center" vertical="center" wrapText="1"/>
    </xf>
    <xf numFmtId="49" fontId="6" fillId="3" borderId="26" xfId="0" applyNumberFormat="1" applyFont="1" applyFill="1" applyBorder="1" applyAlignment="1">
      <alignment horizontal="center" vertical="center" wrapText="1"/>
    </xf>
    <xf numFmtId="0" fontId="6" fillId="4" borderId="28" xfId="0" applyFont="1" applyFill="1" applyBorder="1" applyAlignment="1">
      <alignment horizontal="center" vertical="center" wrapText="1"/>
    </xf>
    <xf numFmtId="166" fontId="6" fillId="2" borderId="17" xfId="0" applyNumberFormat="1" applyFont="1" applyFill="1" applyBorder="1" applyAlignment="1">
      <alignment horizontal="left" vertical="center"/>
    </xf>
    <xf numFmtId="164" fontId="6" fillId="2" borderId="18" xfId="0" applyNumberFormat="1" applyFont="1" applyFill="1" applyBorder="1" applyAlignment="1">
      <alignment horizontal="center" vertical="center"/>
    </xf>
    <xf numFmtId="2" fontId="6" fillId="5" borderId="18" xfId="0" applyNumberFormat="1" applyFont="1" applyFill="1" applyBorder="1" applyAlignment="1">
      <alignment horizontal="center" vertical="center"/>
    </xf>
    <xf numFmtId="165" fontId="6" fillId="2" borderId="18" xfId="0" applyNumberFormat="1" applyFont="1" applyFill="1" applyBorder="1" applyAlignment="1">
      <alignment horizontal="center" vertical="center"/>
    </xf>
    <xf numFmtId="167" fontId="6" fillId="2" borderId="18" xfId="0" applyNumberFormat="1" applyFont="1" applyFill="1" applyBorder="1" applyAlignment="1">
      <alignment horizontal="center" vertical="center"/>
    </xf>
    <xf numFmtId="167" fontId="6" fillId="2" borderId="35" xfId="0" applyNumberFormat="1" applyFont="1" applyFill="1" applyBorder="1" applyAlignment="1">
      <alignment horizontal="center" vertical="center"/>
    </xf>
    <xf numFmtId="49" fontId="6" fillId="3" borderId="21" xfId="0" applyNumberFormat="1" applyFont="1" applyFill="1" applyBorder="1" applyAlignment="1">
      <alignment horizontal="center" vertical="center" wrapText="1"/>
    </xf>
    <xf numFmtId="167" fontId="6" fillId="3" borderId="21" xfId="0" applyNumberFormat="1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168" fontId="6" fillId="4" borderId="4" xfId="0" applyNumberFormat="1" applyFont="1" applyFill="1" applyBorder="1" applyAlignment="1">
      <alignment horizontal="center" vertical="center" wrapText="1"/>
    </xf>
    <xf numFmtId="167" fontId="6" fillId="2" borderId="31" xfId="0" applyNumberFormat="1" applyFont="1" applyFill="1" applyBorder="1" applyAlignment="1">
      <alignment horizontal="center" vertical="center" wrapText="1"/>
    </xf>
    <xf numFmtId="166" fontId="6" fillId="7" borderId="12" xfId="0" applyNumberFormat="1" applyFont="1" applyFill="1" applyBorder="1" applyAlignment="1">
      <alignment horizontal="left" vertical="center"/>
    </xf>
    <xf numFmtId="164" fontId="6" fillId="7" borderId="13" xfId="0" applyNumberFormat="1" applyFont="1" applyFill="1" applyBorder="1" applyAlignment="1">
      <alignment horizontal="center" vertical="center"/>
    </xf>
    <xf numFmtId="2" fontId="6" fillId="7" borderId="13" xfId="0" applyNumberFormat="1" applyFont="1" applyFill="1" applyBorder="1" applyAlignment="1">
      <alignment horizontal="center" vertical="center"/>
    </xf>
    <xf numFmtId="165" fontId="6" fillId="7" borderId="13" xfId="0" applyNumberFormat="1" applyFont="1" applyFill="1" applyBorder="1" applyAlignment="1">
      <alignment horizontal="center" vertical="center"/>
    </xf>
    <xf numFmtId="167" fontId="7" fillId="8" borderId="13" xfId="0" applyNumberFormat="1" applyFont="1" applyFill="1" applyBorder="1" applyAlignment="1">
      <alignment horizontal="center" vertical="center"/>
    </xf>
    <xf numFmtId="167" fontId="7" fillId="8" borderId="33" xfId="0" applyNumberFormat="1" applyFont="1" applyFill="1" applyBorder="1" applyAlignment="1">
      <alignment horizontal="center" vertical="center"/>
    </xf>
    <xf numFmtId="49" fontId="6" fillId="7" borderId="11" xfId="0" applyNumberFormat="1" applyFont="1" applyFill="1" applyBorder="1" applyAlignment="1">
      <alignment horizontal="center" vertical="center" wrapText="1"/>
    </xf>
    <xf numFmtId="167" fontId="7" fillId="9" borderId="11" xfId="0" applyNumberFormat="1" applyFont="1" applyFill="1" applyBorder="1" applyAlignment="1">
      <alignment horizontal="center" vertical="center" wrapText="1"/>
    </xf>
    <xf numFmtId="167" fontId="6" fillId="7" borderId="11" xfId="0" applyNumberFormat="1" applyFont="1" applyFill="1" applyBorder="1" applyAlignment="1">
      <alignment horizontal="center" vertical="center" wrapText="1"/>
    </xf>
    <xf numFmtId="168" fontId="7" fillId="9" borderId="1" xfId="0" applyNumberFormat="1" applyFont="1" applyFill="1" applyBorder="1" applyAlignment="1">
      <alignment horizontal="center" vertical="center" wrapText="1"/>
    </xf>
    <xf numFmtId="167" fontId="6" fillId="6" borderId="24" xfId="0" applyNumberFormat="1" applyFont="1" applyFill="1" applyBorder="1" applyAlignment="1">
      <alignment horizontal="center" vertical="center" wrapText="1"/>
    </xf>
    <xf numFmtId="166" fontId="6" fillId="7" borderId="15" xfId="0" applyNumberFormat="1" applyFont="1" applyFill="1" applyBorder="1" applyAlignment="1">
      <alignment horizontal="left" vertical="center"/>
    </xf>
    <xf numFmtId="164" fontId="6" fillId="7" borderId="7" xfId="0" applyNumberFormat="1" applyFont="1" applyFill="1" applyBorder="1" applyAlignment="1">
      <alignment horizontal="center" vertical="center"/>
    </xf>
    <xf numFmtId="2" fontId="6" fillId="7" borderId="7" xfId="0" applyNumberFormat="1" applyFont="1" applyFill="1" applyBorder="1" applyAlignment="1">
      <alignment horizontal="center" vertical="center"/>
    </xf>
    <xf numFmtId="165" fontId="6" fillId="7" borderId="7" xfId="0" applyNumberFormat="1" applyFont="1" applyFill="1" applyBorder="1" applyAlignment="1">
      <alignment horizontal="center" vertical="center"/>
    </xf>
    <xf numFmtId="167" fontId="7" fillId="8" borderId="7" xfId="0" applyNumberFormat="1" applyFont="1" applyFill="1" applyBorder="1" applyAlignment="1">
      <alignment horizontal="center" vertical="center"/>
    </xf>
    <xf numFmtId="167" fontId="7" fillId="8" borderId="34" xfId="0" applyNumberFormat="1" applyFont="1" applyFill="1" applyBorder="1" applyAlignment="1">
      <alignment horizontal="center" vertical="center"/>
    </xf>
    <xf numFmtId="49" fontId="6" fillId="7" borderId="20" xfId="0" applyNumberFormat="1" applyFont="1" applyFill="1" applyBorder="1" applyAlignment="1">
      <alignment horizontal="center" vertical="center" wrapText="1"/>
    </xf>
    <xf numFmtId="167" fontId="7" fillId="9" borderId="20" xfId="0" applyNumberFormat="1" applyFont="1" applyFill="1" applyBorder="1" applyAlignment="1">
      <alignment horizontal="center" vertical="center" wrapText="1"/>
    </xf>
    <xf numFmtId="0" fontId="6" fillId="7" borderId="20" xfId="0" applyFont="1" applyFill="1" applyBorder="1" applyAlignment="1">
      <alignment horizontal="center" vertical="center" wrapText="1"/>
    </xf>
    <xf numFmtId="168" fontId="7" fillId="9" borderId="29" xfId="0" applyNumberFormat="1" applyFont="1" applyFill="1" applyBorder="1" applyAlignment="1">
      <alignment horizontal="center" vertical="center" wrapText="1"/>
    </xf>
    <xf numFmtId="167" fontId="6" fillId="6" borderId="30" xfId="0" applyNumberFormat="1" applyFont="1" applyFill="1" applyBorder="1" applyAlignment="1">
      <alignment horizontal="center" vertical="center" wrapText="1"/>
    </xf>
    <xf numFmtId="166" fontId="6" fillId="7" borderId="17" xfId="0" applyNumberFormat="1" applyFont="1" applyFill="1" applyBorder="1" applyAlignment="1">
      <alignment horizontal="left" vertical="center"/>
    </xf>
    <xf numFmtId="164" fontId="6" fillId="7" borderId="18" xfId="0" applyNumberFormat="1" applyFont="1" applyFill="1" applyBorder="1" applyAlignment="1">
      <alignment horizontal="center" vertical="center"/>
    </xf>
    <xf numFmtId="2" fontId="6" fillId="7" borderId="18" xfId="0" applyNumberFormat="1" applyFont="1" applyFill="1" applyBorder="1" applyAlignment="1">
      <alignment horizontal="center" vertical="center"/>
    </xf>
    <xf numFmtId="165" fontId="6" fillId="7" borderId="18" xfId="0" applyNumberFormat="1" applyFont="1" applyFill="1" applyBorder="1" applyAlignment="1">
      <alignment horizontal="center" vertical="center"/>
    </xf>
    <xf numFmtId="167" fontId="7" fillId="8" borderId="18" xfId="0" applyNumberFormat="1" applyFont="1" applyFill="1" applyBorder="1" applyAlignment="1">
      <alignment horizontal="center" vertical="center"/>
    </xf>
    <xf numFmtId="167" fontId="7" fillId="8" borderId="35" xfId="0" applyNumberFormat="1" applyFont="1" applyFill="1" applyBorder="1" applyAlignment="1">
      <alignment horizontal="center" vertical="center"/>
    </xf>
    <xf numFmtId="49" fontId="6" fillId="7" borderId="21" xfId="0" applyNumberFormat="1" applyFont="1" applyFill="1" applyBorder="1" applyAlignment="1">
      <alignment horizontal="center" vertical="center" wrapText="1"/>
    </xf>
    <xf numFmtId="167" fontId="7" fillId="9" borderId="21" xfId="0" applyNumberFormat="1" applyFont="1" applyFill="1" applyBorder="1" applyAlignment="1">
      <alignment horizontal="center" vertical="center" wrapText="1"/>
    </xf>
    <xf numFmtId="0" fontId="6" fillId="7" borderId="21" xfId="0" applyFont="1" applyFill="1" applyBorder="1" applyAlignment="1">
      <alignment horizontal="center" vertical="center" wrapText="1"/>
    </xf>
    <xf numFmtId="168" fontId="7" fillId="9" borderId="4" xfId="0" applyNumberFormat="1" applyFont="1" applyFill="1" applyBorder="1" applyAlignment="1">
      <alignment horizontal="center" vertical="center" wrapText="1"/>
    </xf>
    <xf numFmtId="167" fontId="6" fillId="6" borderId="31" xfId="0" applyNumberFormat="1" applyFont="1" applyFill="1" applyBorder="1" applyAlignment="1">
      <alignment horizontal="center" vertical="center" wrapText="1"/>
    </xf>
    <xf numFmtId="166" fontId="6" fillId="7" borderId="12" xfId="0" applyNumberFormat="1" applyFont="1" applyFill="1" applyBorder="1" applyAlignment="1">
      <alignment horizontal="center" vertical="center"/>
    </xf>
    <xf numFmtId="3" fontId="7" fillId="9" borderId="12" xfId="0" applyNumberFormat="1" applyFont="1" applyFill="1" applyBorder="1" applyAlignment="1">
      <alignment horizontal="center" vertical="center"/>
    </xf>
    <xf numFmtId="3" fontId="7" fillId="9" borderId="12" xfId="0" applyNumberFormat="1" applyFont="1" applyFill="1" applyBorder="1" applyAlignment="1">
      <alignment horizontal="center" vertical="center"/>
    </xf>
    <xf numFmtId="49" fontId="6" fillId="7" borderId="12" xfId="0" applyNumberFormat="1" applyFont="1" applyFill="1" applyBorder="1" applyAlignment="1">
      <alignment horizontal="center" vertical="center"/>
    </xf>
    <xf numFmtId="167" fontId="7" fillId="9" borderId="12" xfId="0" applyNumberFormat="1" applyFont="1" applyFill="1" applyBorder="1" applyAlignment="1">
      <alignment horizontal="center" vertical="center"/>
    </xf>
    <xf numFmtId="168" fontId="6" fillId="7" borderId="12" xfId="0" applyNumberFormat="1" applyFont="1" applyFill="1" applyBorder="1" applyAlignment="1">
      <alignment horizontal="center" vertical="center"/>
    </xf>
    <xf numFmtId="168" fontId="7" fillId="9" borderId="12" xfId="0" applyNumberFormat="1" applyFont="1" applyFill="1" applyBorder="1" applyAlignment="1">
      <alignment horizontal="center" vertical="center"/>
    </xf>
    <xf numFmtId="167" fontId="8" fillId="6" borderId="12" xfId="0" applyNumberFormat="1" applyFont="1" applyFill="1" applyBorder="1" applyAlignment="1">
      <alignment horizontal="center" vertical="center"/>
    </xf>
    <xf numFmtId="166" fontId="6" fillId="7" borderId="15" xfId="0" applyNumberFormat="1" applyFont="1" applyFill="1" applyBorder="1" applyAlignment="1">
      <alignment horizontal="center" vertical="center"/>
    </xf>
    <xf numFmtId="3" fontId="7" fillId="9" borderId="15" xfId="0" applyNumberFormat="1" applyFont="1" applyFill="1" applyBorder="1" applyAlignment="1">
      <alignment horizontal="center" vertical="center"/>
    </xf>
    <xf numFmtId="3" fontId="7" fillId="9" borderId="15" xfId="0" applyNumberFormat="1" applyFont="1" applyFill="1" applyBorder="1" applyAlignment="1">
      <alignment horizontal="center" vertical="center"/>
    </xf>
    <xf numFmtId="49" fontId="6" fillId="7" borderId="15" xfId="0" applyNumberFormat="1" applyFont="1" applyFill="1" applyBorder="1" applyAlignment="1">
      <alignment horizontal="center" vertical="center"/>
    </xf>
    <xf numFmtId="167" fontId="7" fillId="9" borderId="15" xfId="0" applyNumberFormat="1" applyFont="1" applyFill="1" applyBorder="1" applyAlignment="1">
      <alignment horizontal="center" vertical="center"/>
    </xf>
    <xf numFmtId="168" fontId="6" fillId="7" borderId="15" xfId="0" applyNumberFormat="1" applyFont="1" applyFill="1" applyBorder="1" applyAlignment="1">
      <alignment horizontal="center" vertical="center"/>
    </xf>
    <xf numFmtId="168" fontId="7" fillId="9" borderId="15" xfId="0" applyNumberFormat="1" applyFont="1" applyFill="1" applyBorder="1" applyAlignment="1">
      <alignment horizontal="center" vertical="center"/>
    </xf>
    <xf numFmtId="167" fontId="8" fillId="6" borderId="15" xfId="0" applyNumberFormat="1" applyFont="1" applyFill="1" applyBorder="1" applyAlignment="1">
      <alignment horizontal="center" vertical="center"/>
    </xf>
    <xf numFmtId="166" fontId="6" fillId="7" borderId="17" xfId="0" applyNumberFormat="1" applyFont="1" applyFill="1" applyBorder="1" applyAlignment="1">
      <alignment horizontal="center" vertical="center"/>
    </xf>
    <xf numFmtId="3" fontId="7" fillId="9" borderId="17" xfId="0" applyNumberFormat="1" applyFont="1" applyFill="1" applyBorder="1" applyAlignment="1">
      <alignment horizontal="center" vertical="center"/>
    </xf>
    <xf numFmtId="3" fontId="7" fillId="9" borderId="17" xfId="0" applyNumberFormat="1" applyFont="1" applyFill="1" applyBorder="1" applyAlignment="1">
      <alignment horizontal="center" vertical="center"/>
    </xf>
    <xf numFmtId="49" fontId="6" fillId="7" borderId="17" xfId="0" applyNumberFormat="1" applyFont="1" applyFill="1" applyBorder="1" applyAlignment="1">
      <alignment horizontal="center" vertical="center"/>
    </xf>
    <xf numFmtId="167" fontId="7" fillId="9" borderId="17" xfId="0" applyNumberFormat="1" applyFont="1" applyFill="1" applyBorder="1" applyAlignment="1">
      <alignment horizontal="center" vertical="center"/>
    </xf>
    <xf numFmtId="168" fontId="6" fillId="7" borderId="17" xfId="0" applyNumberFormat="1" applyFont="1" applyFill="1" applyBorder="1" applyAlignment="1">
      <alignment horizontal="center" vertical="center"/>
    </xf>
    <xf numFmtId="168" fontId="7" fillId="9" borderId="17" xfId="0" applyNumberFormat="1" applyFont="1" applyFill="1" applyBorder="1" applyAlignment="1">
      <alignment horizontal="center" vertical="center"/>
    </xf>
    <xf numFmtId="167" fontId="8" fillId="6" borderId="17" xfId="0" applyNumberFormat="1" applyFont="1" applyFill="1" applyBorder="1" applyAlignment="1">
      <alignment horizontal="center" vertical="center"/>
    </xf>
    <xf numFmtId="167" fontId="7" fillId="8" borderId="36" xfId="0" applyNumberFormat="1" applyFont="1" applyFill="1" applyBorder="1" applyAlignment="1">
      <alignment horizontal="center" vertical="center"/>
    </xf>
    <xf numFmtId="167" fontId="6" fillId="7" borderId="12" xfId="0" applyNumberFormat="1" applyFont="1" applyFill="1" applyBorder="1" applyAlignment="1">
      <alignment horizontal="center" vertical="center"/>
    </xf>
    <xf numFmtId="168" fontId="7" fillId="9" borderId="11" xfId="0" applyNumberFormat="1" applyFont="1" applyFill="1" applyBorder="1" applyAlignment="1">
      <alignment horizontal="center" vertical="center"/>
    </xf>
    <xf numFmtId="167" fontId="8" fillId="6" borderId="14" xfId="0" applyNumberFormat="1" applyFont="1" applyFill="1" applyBorder="1" applyAlignment="1">
      <alignment horizontal="center" vertical="center" wrapText="1"/>
    </xf>
    <xf numFmtId="167" fontId="7" fillId="8" borderId="37" xfId="0" applyNumberFormat="1" applyFont="1" applyFill="1" applyBorder="1" applyAlignment="1">
      <alignment horizontal="center" vertical="center"/>
    </xf>
    <xf numFmtId="167" fontId="6" fillId="7" borderId="15" xfId="0" applyNumberFormat="1" applyFont="1" applyFill="1" applyBorder="1" applyAlignment="1">
      <alignment horizontal="center" vertical="center"/>
    </xf>
    <xf numFmtId="168" fontId="7" fillId="9" borderId="20" xfId="0" applyNumberFormat="1" applyFont="1" applyFill="1" applyBorder="1" applyAlignment="1">
      <alignment horizontal="center" vertical="center"/>
    </xf>
    <xf numFmtId="167" fontId="8" fillId="6" borderId="16" xfId="0" applyNumberFormat="1" applyFont="1" applyFill="1" applyBorder="1" applyAlignment="1">
      <alignment horizontal="center" vertical="center" wrapText="1"/>
    </xf>
    <xf numFmtId="167" fontId="7" fillId="8" borderId="38" xfId="0" applyNumberFormat="1" applyFont="1" applyFill="1" applyBorder="1" applyAlignment="1">
      <alignment horizontal="center" vertical="center"/>
    </xf>
    <xf numFmtId="167" fontId="6" fillId="7" borderId="17" xfId="0" applyNumberFormat="1" applyFont="1" applyFill="1" applyBorder="1" applyAlignment="1">
      <alignment horizontal="center" vertical="center"/>
    </xf>
    <xf numFmtId="168" fontId="7" fillId="9" borderId="21" xfId="0" applyNumberFormat="1" applyFont="1" applyFill="1" applyBorder="1" applyAlignment="1">
      <alignment horizontal="center" vertical="center"/>
    </xf>
    <xf numFmtId="167" fontId="8" fillId="6" borderId="19" xfId="0" applyNumberFormat="1" applyFont="1" applyFill="1" applyBorder="1" applyAlignment="1">
      <alignment horizontal="center" vertical="center" wrapText="1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wrapText="1"/>
    </xf>
    <xf numFmtId="0" fontId="9" fillId="0" borderId="1" xfId="0" applyFont="1" applyBorder="1" applyAlignment="1">
      <alignment vertical="top" wrapText="1"/>
    </xf>
    <xf numFmtId="0" fontId="9" fillId="0" borderId="2" xfId="0" applyFont="1" applyBorder="1" applyAlignment="1">
      <alignment vertical="top" wrapText="1"/>
    </xf>
    <xf numFmtId="0" fontId="9" fillId="0" borderId="3" xfId="0" applyFont="1" applyBorder="1" applyAlignment="1">
      <alignment vertical="top" wrapText="1"/>
    </xf>
    <xf numFmtId="0" fontId="9" fillId="0" borderId="4" xfId="0" applyFont="1" applyBorder="1" applyAlignment="1">
      <alignment vertical="top" wrapText="1"/>
    </xf>
    <xf numFmtId="0" fontId="9" fillId="0" borderId="5" xfId="0" applyFont="1" applyBorder="1" applyAlignment="1">
      <alignment vertical="top" wrapText="1"/>
    </xf>
    <xf numFmtId="0" fontId="9" fillId="0" borderId="6" xfId="0" applyFont="1" applyBorder="1" applyAlignment="1">
      <alignment vertical="top" wrapText="1"/>
    </xf>
    <xf numFmtId="0" fontId="5" fillId="11" borderId="8" xfId="0" applyFont="1" applyFill="1" applyBorder="1" applyAlignment="1">
      <alignment horizontal="left" vertical="center"/>
    </xf>
    <xf numFmtId="0" fontId="5" fillId="11" borderId="32" xfId="0" applyFont="1" applyFill="1" applyBorder="1" applyAlignment="1">
      <alignment horizontal="left" vertical="center" wrapText="1"/>
    </xf>
    <xf numFmtId="0" fontId="5" fillId="11" borderId="32" xfId="0" applyNumberFormat="1" applyFont="1" applyFill="1" applyBorder="1" applyAlignment="1">
      <alignment horizontal="left" vertical="center" wrapText="1"/>
    </xf>
    <xf numFmtId="0" fontId="5" fillId="11" borderId="10" xfId="0" applyNumberFormat="1" applyFont="1" applyFill="1" applyBorder="1" applyAlignment="1">
      <alignment horizontal="left" vertical="center" wrapText="1"/>
    </xf>
    <xf numFmtId="0" fontId="5" fillId="11" borderId="22" xfId="0" applyFont="1" applyFill="1" applyBorder="1" applyAlignment="1">
      <alignment horizontal="left" vertical="center" wrapText="1"/>
    </xf>
    <xf numFmtId="0" fontId="5" fillId="11" borderId="23" xfId="0" applyFont="1" applyFill="1" applyBorder="1" applyAlignment="1">
      <alignment horizontal="left" vertical="center" wrapText="1"/>
    </xf>
    <xf numFmtId="0" fontId="5" fillId="11" borderId="3" xfId="0" applyFont="1" applyFill="1" applyBorder="1" applyAlignment="1">
      <alignment horizontal="left" vertical="center" wrapText="1"/>
    </xf>
    <xf numFmtId="0" fontId="5" fillId="11" borderId="9" xfId="0" applyFont="1" applyFill="1" applyBorder="1" applyAlignment="1">
      <alignment horizontal="left" vertical="center" wrapText="1"/>
    </xf>
    <xf numFmtId="0" fontId="1" fillId="0" borderId="0" xfId="0" applyFont="1"/>
    <xf numFmtId="0" fontId="5" fillId="10" borderId="34" xfId="0" applyFont="1" applyFill="1" applyBorder="1" applyAlignment="1">
      <alignment horizontal="left" vertical="center" wrapText="1"/>
    </xf>
    <xf numFmtId="0" fontId="5" fillId="0" borderId="34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vertical="top" wrapText="1"/>
    </xf>
    <xf numFmtId="0" fontId="4" fillId="0" borderId="2" xfId="0" applyFont="1" applyBorder="1" applyAlignment="1">
      <alignment vertical="top" wrapText="1"/>
    </xf>
    <xf numFmtId="0" fontId="4" fillId="0" borderId="3" xfId="0" applyFont="1" applyBorder="1" applyAlignment="1">
      <alignment vertical="top" wrapText="1"/>
    </xf>
    <xf numFmtId="0" fontId="4" fillId="0" borderId="29" xfId="0" applyFont="1" applyBorder="1" applyAlignment="1">
      <alignment vertical="top" wrapText="1"/>
    </xf>
    <xf numFmtId="0" fontId="4" fillId="0" borderId="0" xfId="0" applyFont="1" applyBorder="1" applyAlignment="1">
      <alignment vertical="top" wrapText="1"/>
    </xf>
    <xf numFmtId="0" fontId="4" fillId="0" borderId="39" xfId="0" applyFont="1" applyBorder="1" applyAlignment="1">
      <alignment vertical="top" wrapText="1"/>
    </xf>
    <xf numFmtId="0" fontId="11" fillId="11" borderId="41" xfId="0" applyFont="1" applyFill="1" applyBorder="1" applyAlignment="1">
      <alignment horizontal="left" vertical="center"/>
    </xf>
    <xf numFmtId="0" fontId="11" fillId="11" borderId="41" xfId="0" applyFont="1" applyFill="1" applyBorder="1" applyAlignment="1">
      <alignment horizontal="left" vertical="center" wrapText="1"/>
    </xf>
    <xf numFmtId="0" fontId="11" fillId="11" borderId="41" xfId="0" applyNumberFormat="1" applyFont="1" applyFill="1" applyBorder="1" applyAlignment="1">
      <alignment horizontal="left" vertical="center" wrapText="1"/>
    </xf>
    <xf numFmtId="0" fontId="11" fillId="10" borderId="41" xfId="0" applyNumberFormat="1" applyFont="1" applyFill="1" applyBorder="1" applyAlignment="1">
      <alignment horizontal="left" vertical="center" wrapText="1"/>
    </xf>
    <xf numFmtId="0" fontId="11" fillId="10" borderId="41" xfId="0" applyFont="1" applyFill="1" applyBorder="1" applyAlignment="1">
      <alignment horizontal="left" vertical="center" wrapText="1"/>
    </xf>
    <xf numFmtId="166" fontId="12" fillId="2" borderId="12" xfId="0" applyNumberFormat="1" applyFont="1" applyFill="1" applyBorder="1" applyAlignment="1">
      <alignment horizontal="left" vertical="center"/>
    </xf>
    <xf numFmtId="164" fontId="12" fillId="2" borderId="13" xfId="0" applyNumberFormat="1" applyFont="1" applyFill="1" applyBorder="1" applyAlignment="1">
      <alignment horizontal="center" vertical="center"/>
    </xf>
    <xf numFmtId="2" fontId="12" fillId="5" borderId="13" xfId="0" applyNumberFormat="1" applyFont="1" applyFill="1" applyBorder="1" applyAlignment="1">
      <alignment horizontal="center" vertical="center"/>
    </xf>
    <xf numFmtId="165" fontId="12" fillId="2" borderId="13" xfId="0" applyNumberFormat="1" applyFont="1" applyFill="1" applyBorder="1" applyAlignment="1">
      <alignment horizontal="center" vertical="center"/>
    </xf>
    <xf numFmtId="167" fontId="10" fillId="2" borderId="13" xfId="0" applyNumberFormat="1" applyFont="1" applyFill="1" applyBorder="1" applyAlignment="1">
      <alignment horizontal="center" vertical="center"/>
    </xf>
    <xf numFmtId="167" fontId="12" fillId="2" borderId="33" xfId="0" applyNumberFormat="1" applyFont="1" applyFill="1" applyBorder="1" applyAlignment="1">
      <alignment horizontal="center" vertical="center"/>
    </xf>
    <xf numFmtId="167" fontId="12" fillId="2" borderId="42" xfId="0" applyNumberFormat="1" applyFont="1" applyFill="1" applyBorder="1" applyAlignment="1">
      <alignment horizontal="center" vertical="center" wrapText="1"/>
    </xf>
    <xf numFmtId="167" fontId="12" fillId="2" borderId="52" xfId="0" applyNumberFormat="1" applyFont="1" applyFill="1" applyBorder="1" applyAlignment="1">
      <alignment horizontal="center" vertical="center" wrapText="1"/>
    </xf>
    <xf numFmtId="0" fontId="12" fillId="2" borderId="42" xfId="0" applyFont="1" applyFill="1" applyBorder="1" applyAlignment="1">
      <alignment vertical="center" wrapText="1"/>
    </xf>
    <xf numFmtId="3" fontId="12" fillId="2" borderId="53" xfId="0" applyNumberFormat="1" applyFont="1" applyFill="1" applyBorder="1" applyAlignment="1">
      <alignment horizontal="center" vertical="center" wrapText="1"/>
    </xf>
    <xf numFmtId="3" fontId="12" fillId="2" borderId="52" xfId="0" applyNumberFormat="1" applyFont="1" applyFill="1" applyBorder="1" applyAlignment="1">
      <alignment horizontal="center" vertical="center" wrapText="1"/>
    </xf>
    <xf numFmtId="3" fontId="10" fillId="2" borderId="13" xfId="0" applyNumberFormat="1" applyFont="1" applyFill="1" applyBorder="1" applyAlignment="1">
      <alignment vertical="center" wrapText="1"/>
    </xf>
    <xf numFmtId="0" fontId="12" fillId="2" borderId="13" xfId="0" applyFont="1" applyFill="1" applyBorder="1" applyAlignment="1">
      <alignment vertical="center" wrapText="1"/>
    </xf>
    <xf numFmtId="3" fontId="12" fillId="2" borderId="54" xfId="0" applyNumberFormat="1" applyFont="1" applyFill="1" applyBorder="1" applyAlignment="1">
      <alignment horizontal="center" vertical="center" wrapText="1"/>
    </xf>
    <xf numFmtId="3" fontId="10" fillId="2" borderId="54" xfId="0" applyNumberFormat="1" applyFont="1" applyFill="1" applyBorder="1" applyAlignment="1">
      <alignment horizontal="center" vertical="center" wrapText="1"/>
    </xf>
    <xf numFmtId="167" fontId="10" fillId="2" borderId="24" xfId="0" applyNumberFormat="1" applyFont="1" applyFill="1" applyBorder="1" applyAlignment="1">
      <alignment horizontal="center" vertical="center" wrapText="1"/>
    </xf>
    <xf numFmtId="166" fontId="12" fillId="2" borderId="15" xfId="0" applyNumberFormat="1" applyFont="1" applyFill="1" applyBorder="1" applyAlignment="1">
      <alignment horizontal="left" vertical="center"/>
    </xf>
    <xf numFmtId="164" fontId="12" fillId="2" borderId="7" xfId="0" applyNumberFormat="1" applyFont="1" applyFill="1" applyBorder="1" applyAlignment="1">
      <alignment horizontal="center" vertical="center"/>
    </xf>
    <xf numFmtId="2" fontId="12" fillId="5" borderId="7" xfId="0" applyNumberFormat="1" applyFont="1" applyFill="1" applyBorder="1" applyAlignment="1">
      <alignment horizontal="center" vertical="center"/>
    </xf>
    <xf numFmtId="165" fontId="12" fillId="2" borderId="7" xfId="0" applyNumberFormat="1" applyFont="1" applyFill="1" applyBorder="1" applyAlignment="1">
      <alignment horizontal="center" vertical="center"/>
    </xf>
    <xf numFmtId="167" fontId="10" fillId="2" borderId="7" xfId="0" applyNumberFormat="1" applyFont="1" applyFill="1" applyBorder="1" applyAlignment="1">
      <alignment horizontal="center" vertical="center"/>
    </xf>
    <xf numFmtId="167" fontId="12" fillId="2" borderId="34" xfId="0" applyNumberFormat="1" applyFont="1" applyFill="1" applyBorder="1" applyAlignment="1">
      <alignment horizontal="center" vertical="center"/>
    </xf>
    <xf numFmtId="167" fontId="12" fillId="2" borderId="43" xfId="0" applyNumberFormat="1" applyFont="1" applyFill="1" applyBorder="1" applyAlignment="1">
      <alignment horizontal="center" vertical="center" wrapText="1"/>
    </xf>
    <xf numFmtId="167" fontId="12" fillId="2" borderId="45" xfId="0" applyNumberFormat="1" applyFont="1" applyFill="1" applyBorder="1" applyAlignment="1">
      <alignment horizontal="center" vertical="center" wrapText="1"/>
    </xf>
    <xf numFmtId="0" fontId="12" fillId="2" borderId="43" xfId="0" applyFont="1" applyFill="1" applyBorder="1" applyAlignment="1">
      <alignment horizontal="center" vertical="center" wrapText="1"/>
    </xf>
    <xf numFmtId="3" fontId="12" fillId="2" borderId="44" xfId="0" applyNumberFormat="1" applyFont="1" applyFill="1" applyBorder="1" applyAlignment="1">
      <alignment horizontal="center" vertical="center" wrapText="1"/>
    </xf>
    <xf numFmtId="3" fontId="12" fillId="2" borderId="45" xfId="0" applyNumberFormat="1" applyFont="1" applyFill="1" applyBorder="1" applyAlignment="1">
      <alignment horizontal="center" vertical="center" wrapText="1"/>
    </xf>
    <xf numFmtId="3" fontId="10" fillId="0" borderId="7" xfId="0" applyNumberFormat="1" applyFont="1" applyBorder="1" applyAlignment="1">
      <alignment vertical="center" wrapText="1"/>
    </xf>
    <xf numFmtId="0" fontId="12" fillId="0" borderId="7" xfId="0" applyFont="1" applyBorder="1" applyAlignment="1">
      <alignment vertical="center" wrapText="1"/>
    </xf>
    <xf numFmtId="0" fontId="12" fillId="0" borderId="49" xfId="0" applyFont="1" applyBorder="1" applyAlignment="1">
      <alignment horizontal="center" vertical="center" wrapText="1"/>
    </xf>
    <xf numFmtId="0" fontId="10" fillId="0" borderId="49" xfId="0" applyFont="1" applyBorder="1" applyAlignment="1">
      <alignment horizontal="center" vertical="center" wrapText="1"/>
    </xf>
    <xf numFmtId="167" fontId="10" fillId="2" borderId="30" xfId="0" applyNumberFormat="1" applyFont="1" applyFill="1" applyBorder="1" applyAlignment="1">
      <alignment horizontal="center" vertical="center" wrapText="1"/>
    </xf>
    <xf numFmtId="167" fontId="10" fillId="2" borderId="40" xfId="0" applyNumberFormat="1" applyFont="1" applyFill="1" applyBorder="1" applyAlignment="1">
      <alignment horizontal="center" vertical="center" wrapText="1"/>
    </xf>
    <xf numFmtId="166" fontId="12" fillId="2" borderId="17" xfId="0" applyNumberFormat="1" applyFont="1" applyFill="1" applyBorder="1" applyAlignment="1">
      <alignment horizontal="left" vertical="center"/>
    </xf>
    <xf numFmtId="164" fontId="12" fillId="2" borderId="18" xfId="0" applyNumberFormat="1" applyFont="1" applyFill="1" applyBorder="1" applyAlignment="1">
      <alignment horizontal="center" vertical="center"/>
    </xf>
    <xf numFmtId="2" fontId="12" fillId="5" borderId="18" xfId="0" applyNumberFormat="1" applyFont="1" applyFill="1" applyBorder="1" applyAlignment="1">
      <alignment horizontal="center" vertical="center"/>
    </xf>
    <xf numFmtId="165" fontId="12" fillId="2" borderId="18" xfId="0" applyNumberFormat="1" applyFont="1" applyFill="1" applyBorder="1" applyAlignment="1">
      <alignment horizontal="center" vertical="center"/>
    </xf>
    <xf numFmtId="167" fontId="10" fillId="2" borderId="18" xfId="0" applyNumberFormat="1" applyFont="1" applyFill="1" applyBorder="1" applyAlignment="1">
      <alignment horizontal="center" vertical="center"/>
    </xf>
    <xf numFmtId="167" fontId="12" fillId="2" borderId="35" xfId="0" applyNumberFormat="1" applyFont="1" applyFill="1" applyBorder="1" applyAlignment="1">
      <alignment horizontal="center" vertical="center"/>
    </xf>
    <xf numFmtId="3" fontId="10" fillId="0" borderId="18" xfId="0" applyNumberFormat="1" applyFont="1" applyBorder="1" applyAlignment="1">
      <alignment vertical="center" wrapText="1"/>
    </xf>
    <xf numFmtId="0" fontId="12" fillId="0" borderId="18" xfId="0" applyFont="1" applyBorder="1" applyAlignment="1">
      <alignment vertical="center" wrapText="1"/>
    </xf>
    <xf numFmtId="167" fontId="12" fillId="2" borderId="46" xfId="0" applyNumberFormat="1" applyFont="1" applyFill="1" applyBorder="1" applyAlignment="1">
      <alignment horizontal="center" vertical="center" wrapText="1"/>
    </xf>
    <xf numFmtId="3" fontId="12" fillId="2" borderId="55" xfId="0" applyNumberFormat="1" applyFont="1" applyFill="1" applyBorder="1" applyAlignment="1">
      <alignment horizontal="center" vertical="center" wrapText="1"/>
    </xf>
    <xf numFmtId="0" fontId="12" fillId="0" borderId="56" xfId="0" applyFont="1" applyBorder="1" applyAlignment="1">
      <alignment horizontal="center" vertical="center" wrapText="1"/>
    </xf>
    <xf numFmtId="0" fontId="10" fillId="0" borderId="56" xfId="0" applyFont="1" applyBorder="1" applyAlignment="1">
      <alignment horizontal="center" vertical="center" wrapText="1"/>
    </xf>
    <xf numFmtId="167" fontId="10" fillId="2" borderId="31" xfId="0" applyNumberFormat="1" applyFont="1" applyFill="1" applyBorder="1" applyAlignment="1">
      <alignment horizontal="center" vertical="center" wrapText="1"/>
    </xf>
    <xf numFmtId="167" fontId="12" fillId="2" borderId="47" xfId="0" applyNumberFormat="1" applyFont="1" applyFill="1" applyBorder="1" applyAlignment="1">
      <alignment horizontal="center" vertical="center" wrapText="1"/>
    </xf>
    <xf numFmtId="0" fontId="12" fillId="2" borderId="46" xfId="0" applyFont="1" applyFill="1" applyBorder="1" applyAlignment="1">
      <alignment horizontal="center" vertical="center" wrapText="1"/>
    </xf>
    <xf numFmtId="3" fontId="12" fillId="2" borderId="47" xfId="0" applyNumberFormat="1" applyFont="1" applyFill="1" applyBorder="1" applyAlignment="1">
      <alignment horizontal="center" vertical="center" wrapText="1"/>
    </xf>
    <xf numFmtId="166" fontId="10" fillId="8" borderId="15" xfId="0" applyNumberFormat="1" applyFont="1" applyFill="1" applyBorder="1" applyAlignment="1">
      <alignment horizontal="left" vertical="center"/>
    </xf>
    <xf numFmtId="164" fontId="10" fillId="8" borderId="7" xfId="0" applyNumberFormat="1" applyFont="1" applyFill="1" applyBorder="1" applyAlignment="1">
      <alignment horizontal="center" vertical="center"/>
    </xf>
    <xf numFmtId="2" fontId="10" fillId="8" borderId="7" xfId="0" applyNumberFormat="1" applyFont="1" applyFill="1" applyBorder="1" applyAlignment="1">
      <alignment horizontal="center" vertical="center"/>
    </xf>
    <xf numFmtId="165" fontId="10" fillId="8" borderId="7" xfId="0" applyNumberFormat="1" applyFont="1" applyFill="1" applyBorder="1" applyAlignment="1">
      <alignment horizontal="center" vertical="center"/>
    </xf>
    <xf numFmtId="167" fontId="10" fillId="8" borderId="7" xfId="0" applyNumberFormat="1" applyFont="1" applyFill="1" applyBorder="1" applyAlignment="1">
      <alignment horizontal="center" vertical="center"/>
    </xf>
    <xf numFmtId="167" fontId="10" fillId="8" borderId="34" xfId="0" applyNumberFormat="1" applyFont="1" applyFill="1" applyBorder="1" applyAlignment="1">
      <alignment horizontal="center" vertical="center"/>
    </xf>
    <xf numFmtId="167" fontId="10" fillId="8" borderId="48" xfId="0" applyNumberFormat="1" applyFont="1" applyFill="1" applyBorder="1" applyAlignment="1">
      <alignment horizontal="center" vertical="center" wrapText="1"/>
    </xf>
    <xf numFmtId="167" fontId="10" fillId="8" borderId="49" xfId="0" applyNumberFormat="1" applyFont="1" applyFill="1" applyBorder="1" applyAlignment="1">
      <alignment horizontal="center" vertical="center" wrapText="1"/>
    </xf>
    <xf numFmtId="3" fontId="10" fillId="8" borderId="50" xfId="0" applyNumberFormat="1" applyFont="1" applyFill="1" applyBorder="1" applyAlignment="1">
      <alignment horizontal="center" vertical="center" wrapText="1"/>
    </xf>
    <xf numFmtId="3" fontId="10" fillId="8" borderId="49" xfId="0" applyNumberFormat="1" applyFont="1" applyFill="1" applyBorder="1" applyAlignment="1">
      <alignment horizontal="center" vertical="center" wrapText="1"/>
    </xf>
    <xf numFmtId="3" fontId="10" fillId="8" borderId="7" xfId="0" applyNumberFormat="1" applyFont="1" applyFill="1" applyBorder="1" applyAlignment="1">
      <alignment vertical="center" wrapText="1"/>
    </xf>
    <xf numFmtId="3" fontId="10" fillId="8" borderId="51" xfId="0" applyNumberFormat="1" applyFont="1" applyFill="1" applyBorder="1" applyAlignment="1">
      <alignment horizontal="center" vertical="center" wrapText="1"/>
    </xf>
    <xf numFmtId="3" fontId="10" fillId="8" borderId="0" xfId="0" applyNumberFormat="1" applyFont="1" applyFill="1" applyBorder="1" applyAlignment="1">
      <alignment horizontal="center" vertical="center" wrapText="1"/>
    </xf>
    <xf numFmtId="0" fontId="11" fillId="11" borderId="41" xfId="0" applyNumberFormat="1" applyFont="1" applyFill="1" applyBorder="1" applyAlignment="1">
      <alignment vertical="center" wrapText="1"/>
    </xf>
    <xf numFmtId="167" fontId="12" fillId="2" borderId="52" xfId="0" applyNumberFormat="1" applyFont="1" applyFill="1" applyBorder="1" applyAlignment="1">
      <alignment vertical="center" wrapText="1"/>
    </xf>
    <xf numFmtId="167" fontId="12" fillId="2" borderId="45" xfId="0" applyNumberFormat="1" applyFont="1" applyFill="1" applyBorder="1" applyAlignment="1">
      <alignment vertical="center" wrapText="1"/>
    </xf>
    <xf numFmtId="167" fontId="12" fillId="2" borderId="47" xfId="0" applyNumberFormat="1" applyFont="1" applyFill="1" applyBorder="1" applyAlignment="1">
      <alignment vertical="center" wrapText="1"/>
    </xf>
    <xf numFmtId="167" fontId="10" fillId="8" borderId="49" xfId="0" applyNumberFormat="1" applyFont="1" applyFill="1" applyBorder="1" applyAlignment="1">
      <alignment vertical="center" wrapText="1"/>
    </xf>
    <xf numFmtId="0" fontId="0" fillId="0" borderId="0" xfId="0" applyAlignment="1"/>
    <xf numFmtId="0" fontId="11" fillId="12" borderId="41" xfId="0" applyFont="1" applyFill="1" applyBorder="1" applyAlignment="1">
      <alignment horizontal="left" vertical="center" wrapText="1"/>
    </xf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C132"/>
  <sheetViews>
    <sheetView topLeftCell="A82" zoomScale="60" zoomScaleNormal="60" workbookViewId="0">
      <selection activeCell="C36" sqref="C36:C39"/>
    </sheetView>
  </sheetViews>
  <sheetFormatPr defaultRowHeight="14.4" x14ac:dyDescent="0.3"/>
  <cols>
    <col min="1" max="1" width="29.88671875" style="2" bestFit="1" customWidth="1"/>
    <col min="2" max="2" width="9" bestFit="1" customWidth="1"/>
    <col min="3" max="3" width="7.44140625" bestFit="1" customWidth="1"/>
    <col min="4" max="4" width="9.21875" customWidth="1"/>
    <col min="5" max="5" width="11" bestFit="1" customWidth="1"/>
    <col min="6" max="6" width="8.109375" bestFit="1" customWidth="1"/>
    <col min="7" max="7" width="8.33203125" bestFit="1" customWidth="1"/>
    <col min="8" max="8" width="15.21875" bestFit="1" customWidth="1"/>
    <col min="9" max="9" width="12.6640625" bestFit="1" customWidth="1"/>
    <col min="10" max="10" width="26.88671875" bestFit="1" customWidth="1"/>
    <col min="11" max="11" width="22.88671875" bestFit="1" customWidth="1"/>
    <col min="12" max="12" width="10" bestFit="1" customWidth="1"/>
    <col min="13" max="13" width="13.21875" bestFit="1" customWidth="1"/>
    <col min="14" max="14" width="24.44140625" bestFit="1" customWidth="1"/>
    <col min="15" max="16" width="24.44140625" customWidth="1"/>
    <col min="17" max="17" width="18.44140625" style="1" customWidth="1"/>
    <col min="18" max="18" width="6.21875" style="1" bestFit="1" customWidth="1"/>
    <col min="19" max="19" width="24.6640625" style="1" bestFit="1" customWidth="1"/>
    <col min="20" max="20" width="8.88671875" style="1" bestFit="1" customWidth="1"/>
    <col min="21" max="21" width="16.21875" bestFit="1" customWidth="1"/>
  </cols>
  <sheetData>
    <row r="1" spans="1:29" ht="13.5" customHeight="1" x14ac:dyDescent="0.3">
      <c r="A1" s="110" t="s">
        <v>22</v>
      </c>
      <c r="B1" s="111"/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2"/>
      <c r="V1" s="3"/>
      <c r="W1" s="3"/>
      <c r="X1" s="3"/>
      <c r="Y1" s="3"/>
      <c r="Z1" s="3"/>
      <c r="AA1" s="3"/>
      <c r="AB1" s="3"/>
      <c r="AC1" s="3"/>
    </row>
    <row r="2" spans="1:29" ht="15" customHeight="1" thickBot="1" x14ac:dyDescent="0.35">
      <c r="A2" s="113"/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4"/>
      <c r="T2" s="114"/>
      <c r="U2" s="115"/>
      <c r="V2" s="3"/>
      <c r="W2" s="3"/>
      <c r="X2" s="3"/>
      <c r="Y2" s="3"/>
      <c r="Z2" s="3"/>
      <c r="AA2" s="3"/>
      <c r="AB2" s="3"/>
      <c r="AC2" s="3"/>
    </row>
    <row r="3" spans="1:29" ht="31.8" thickBot="1" x14ac:dyDescent="0.35">
      <c r="A3" s="116" t="s">
        <v>0</v>
      </c>
      <c r="B3" s="117" t="s">
        <v>1</v>
      </c>
      <c r="C3" s="117" t="s">
        <v>2</v>
      </c>
      <c r="D3" s="117" t="s">
        <v>11</v>
      </c>
      <c r="E3" s="118" t="s">
        <v>12</v>
      </c>
      <c r="F3" s="117" t="s">
        <v>13</v>
      </c>
      <c r="G3" s="117" t="s">
        <v>14</v>
      </c>
      <c r="H3" s="117" t="s">
        <v>18</v>
      </c>
      <c r="I3" s="117" t="s">
        <v>9</v>
      </c>
      <c r="J3" s="119" t="s">
        <v>6</v>
      </c>
      <c r="K3" s="119" t="s">
        <v>15</v>
      </c>
      <c r="L3" s="119" t="s">
        <v>17</v>
      </c>
      <c r="M3" s="119" t="s">
        <v>16</v>
      </c>
      <c r="N3" s="119" t="s">
        <v>10</v>
      </c>
      <c r="O3" s="119" t="s">
        <v>19</v>
      </c>
      <c r="P3" s="119" t="s">
        <v>20</v>
      </c>
      <c r="Q3" s="120" t="s">
        <v>21</v>
      </c>
      <c r="R3" s="121" t="s">
        <v>3</v>
      </c>
      <c r="S3" s="122" t="s">
        <v>8</v>
      </c>
      <c r="T3" s="123" t="s">
        <v>3</v>
      </c>
      <c r="U3" s="116" t="s">
        <v>5</v>
      </c>
      <c r="V3" s="3"/>
      <c r="W3" s="3"/>
      <c r="X3" s="3"/>
      <c r="Y3" s="3"/>
      <c r="Z3" s="3"/>
      <c r="AA3" s="3"/>
      <c r="AB3" s="3"/>
      <c r="AC3" s="3"/>
    </row>
    <row r="4" spans="1:29" ht="15.6" x14ac:dyDescent="0.3">
      <c r="A4" s="4">
        <v>43794</v>
      </c>
      <c r="B4" s="5">
        <v>0.33333333333333331</v>
      </c>
      <c r="C4" s="5">
        <v>0.54166666666666663</v>
      </c>
      <c r="D4" s="5">
        <f>SUM(C4-B4)</f>
        <v>0.20833333333333331</v>
      </c>
      <c r="E4" s="6">
        <f>SUM(D4)</f>
        <v>0.20833333333333331</v>
      </c>
      <c r="F4" s="7">
        <v>1500</v>
      </c>
      <c r="G4" s="8">
        <f>PRODUCT(E4,36000)</f>
        <v>7499.9999999999991</v>
      </c>
      <c r="H4" s="9"/>
      <c r="I4" s="9"/>
      <c r="J4" s="9"/>
      <c r="K4" s="9"/>
      <c r="L4" s="9"/>
      <c r="M4" s="9"/>
      <c r="N4" s="9"/>
      <c r="O4" s="9"/>
      <c r="P4" s="9"/>
      <c r="Q4" s="10"/>
      <c r="R4" s="11"/>
      <c r="S4" s="12"/>
      <c r="T4" s="13"/>
      <c r="U4" s="14"/>
      <c r="V4" s="3"/>
      <c r="W4" s="3"/>
      <c r="X4" s="3"/>
      <c r="Y4" s="3"/>
      <c r="Z4" s="3"/>
      <c r="AA4" s="3"/>
      <c r="AB4" s="3"/>
      <c r="AC4" s="3"/>
    </row>
    <row r="5" spans="1:29" ht="15.6" x14ac:dyDescent="0.3">
      <c r="A5" s="15"/>
      <c r="B5" s="16"/>
      <c r="C5" s="16"/>
      <c r="D5" s="16"/>
      <c r="E5" s="17"/>
      <c r="F5" s="18"/>
      <c r="G5" s="19"/>
      <c r="H5" s="20"/>
      <c r="I5" s="20"/>
      <c r="J5" s="20"/>
      <c r="K5" s="20"/>
      <c r="L5" s="20"/>
      <c r="M5" s="20"/>
      <c r="N5" s="20"/>
      <c r="O5" s="20"/>
      <c r="P5" s="20"/>
      <c r="Q5" s="21"/>
      <c r="R5" s="22"/>
      <c r="S5" s="23"/>
      <c r="T5" s="24"/>
      <c r="U5" s="25"/>
      <c r="V5" s="3"/>
      <c r="W5" s="3"/>
      <c r="X5" s="3"/>
      <c r="Y5" s="3"/>
      <c r="Z5" s="3"/>
      <c r="AA5" s="3"/>
      <c r="AB5" s="3"/>
      <c r="AC5" s="3"/>
    </row>
    <row r="6" spans="1:29" ht="15.6" x14ac:dyDescent="0.3">
      <c r="A6" s="15"/>
      <c r="B6" s="16"/>
      <c r="C6" s="16"/>
      <c r="D6" s="16"/>
      <c r="E6" s="17"/>
      <c r="F6" s="18"/>
      <c r="G6" s="19"/>
      <c r="H6" s="20"/>
      <c r="I6" s="20"/>
      <c r="J6" s="20"/>
      <c r="K6" s="20"/>
      <c r="L6" s="20"/>
      <c r="M6" s="20"/>
      <c r="N6" s="20"/>
      <c r="O6" s="20"/>
      <c r="P6" s="20"/>
      <c r="Q6" s="26"/>
      <c r="R6" s="22"/>
      <c r="S6" s="27"/>
      <c r="T6" s="24"/>
      <c r="U6" s="25"/>
      <c r="V6" s="3"/>
      <c r="W6" s="3"/>
      <c r="X6" s="3"/>
      <c r="Y6" s="3"/>
      <c r="Z6" s="3"/>
      <c r="AA6" s="3"/>
      <c r="AB6" s="3"/>
      <c r="AC6" s="3"/>
    </row>
    <row r="7" spans="1:29" ht="16.2" thickBot="1" x14ac:dyDescent="0.35">
      <c r="A7" s="28"/>
      <c r="B7" s="29"/>
      <c r="C7" s="29"/>
      <c r="D7" s="29"/>
      <c r="E7" s="30"/>
      <c r="F7" s="31"/>
      <c r="G7" s="32"/>
      <c r="H7" s="33"/>
      <c r="I7" s="33"/>
      <c r="J7" s="33"/>
      <c r="K7" s="33"/>
      <c r="L7" s="33"/>
      <c r="M7" s="33"/>
      <c r="N7" s="33"/>
      <c r="O7" s="33"/>
      <c r="P7" s="33"/>
      <c r="Q7" s="34"/>
      <c r="R7" s="35"/>
      <c r="S7" s="36"/>
      <c r="T7" s="37"/>
      <c r="U7" s="38"/>
      <c r="V7" s="3"/>
      <c r="W7" s="3"/>
      <c r="X7" s="3"/>
      <c r="Y7" s="3"/>
      <c r="Z7" s="3"/>
      <c r="AA7" s="3"/>
      <c r="AB7" s="3"/>
      <c r="AC7" s="3"/>
    </row>
    <row r="8" spans="1:29" ht="15.75" customHeight="1" x14ac:dyDescent="0.3">
      <c r="A8" s="4">
        <v>43795</v>
      </c>
      <c r="B8" s="5">
        <v>0.375</v>
      </c>
      <c r="C8" s="5">
        <v>0.72916666666666663</v>
      </c>
      <c r="D8" s="5">
        <f t="shared" ref="D8" si="0">SUM(C8-B8)</f>
        <v>0.35416666666666663</v>
      </c>
      <c r="E8" s="6">
        <f>SUM(D8)</f>
        <v>0.35416666666666663</v>
      </c>
      <c r="F8" s="7">
        <v>1500</v>
      </c>
      <c r="G8" s="8">
        <f t="shared" ref="G8" si="1">PRODUCT(E8,36000)</f>
        <v>12749.999999999998</v>
      </c>
      <c r="H8" s="9"/>
      <c r="I8" s="9"/>
      <c r="J8" s="9"/>
      <c r="K8" s="9"/>
      <c r="L8" s="9"/>
      <c r="M8" s="9"/>
      <c r="N8" s="9"/>
      <c r="O8" s="9"/>
      <c r="P8" s="9"/>
      <c r="Q8" s="10"/>
      <c r="R8" s="11"/>
      <c r="S8" s="12"/>
      <c r="T8" s="13"/>
      <c r="U8" s="14"/>
      <c r="V8" s="3"/>
      <c r="W8" s="3"/>
      <c r="X8" s="3"/>
      <c r="Y8" s="3"/>
      <c r="Z8" s="3"/>
      <c r="AA8" s="3"/>
      <c r="AB8" s="3"/>
      <c r="AC8" s="3"/>
    </row>
    <row r="9" spans="1:29" ht="15.75" customHeight="1" x14ac:dyDescent="0.3">
      <c r="A9" s="15"/>
      <c r="B9" s="16"/>
      <c r="C9" s="16"/>
      <c r="D9" s="16"/>
      <c r="E9" s="17"/>
      <c r="F9" s="18"/>
      <c r="G9" s="19"/>
      <c r="H9" s="20"/>
      <c r="I9" s="20"/>
      <c r="J9" s="20"/>
      <c r="K9" s="20"/>
      <c r="L9" s="20"/>
      <c r="M9" s="20"/>
      <c r="N9" s="20"/>
      <c r="O9" s="20"/>
      <c r="P9" s="20"/>
      <c r="Q9" s="21"/>
      <c r="R9" s="22"/>
      <c r="S9" s="23"/>
      <c r="T9" s="24"/>
      <c r="U9" s="25"/>
      <c r="V9" s="3"/>
      <c r="W9" s="3"/>
      <c r="X9" s="3"/>
      <c r="Y9" s="3"/>
      <c r="Z9" s="3"/>
      <c r="AA9" s="3"/>
      <c r="AB9" s="3"/>
      <c r="AC9" s="3"/>
    </row>
    <row r="10" spans="1:29" ht="15.75" customHeight="1" x14ac:dyDescent="0.3">
      <c r="A10" s="15"/>
      <c r="B10" s="16"/>
      <c r="C10" s="16"/>
      <c r="D10" s="16"/>
      <c r="E10" s="17"/>
      <c r="F10" s="18"/>
      <c r="G10" s="19"/>
      <c r="H10" s="20"/>
      <c r="I10" s="20"/>
      <c r="J10" s="20"/>
      <c r="K10" s="20"/>
      <c r="L10" s="20"/>
      <c r="M10" s="20"/>
      <c r="N10" s="20"/>
      <c r="O10" s="20"/>
      <c r="P10" s="20"/>
      <c r="Q10" s="26"/>
      <c r="R10" s="22"/>
      <c r="S10" s="27"/>
      <c r="T10" s="24"/>
      <c r="U10" s="25"/>
      <c r="V10" s="3"/>
      <c r="W10" s="3"/>
      <c r="X10" s="3"/>
      <c r="Y10" s="3"/>
      <c r="Z10" s="3"/>
      <c r="AA10" s="3"/>
      <c r="AB10" s="3"/>
      <c r="AC10" s="3"/>
    </row>
    <row r="11" spans="1:29" ht="15.75" customHeight="1" thickBot="1" x14ac:dyDescent="0.35">
      <c r="A11" s="28"/>
      <c r="B11" s="29"/>
      <c r="C11" s="29"/>
      <c r="D11" s="29"/>
      <c r="E11" s="30"/>
      <c r="F11" s="31"/>
      <c r="G11" s="32"/>
      <c r="H11" s="33"/>
      <c r="I11" s="33"/>
      <c r="J11" s="33"/>
      <c r="K11" s="33"/>
      <c r="L11" s="33"/>
      <c r="M11" s="33"/>
      <c r="N11" s="33"/>
      <c r="O11" s="33"/>
      <c r="P11" s="33"/>
      <c r="Q11" s="34"/>
      <c r="R11" s="35"/>
      <c r="S11" s="36"/>
      <c r="T11" s="37"/>
      <c r="U11" s="38"/>
      <c r="V11" s="3"/>
      <c r="W11" s="3"/>
      <c r="X11" s="3"/>
      <c r="Y11" s="3"/>
      <c r="Z11" s="3"/>
      <c r="AA11" s="3"/>
      <c r="AB11" s="3"/>
      <c r="AC11" s="3"/>
    </row>
    <row r="12" spans="1:29" ht="15.6" x14ac:dyDescent="0.3">
      <c r="A12" s="4">
        <v>43796</v>
      </c>
      <c r="B12" s="5">
        <v>0.33333333333333331</v>
      </c>
      <c r="C12" s="5">
        <v>0.70833333333333337</v>
      </c>
      <c r="D12" s="5">
        <f t="shared" ref="D12" si="2">SUM(C12-B12)</f>
        <v>0.37500000000000006</v>
      </c>
      <c r="E12" s="6">
        <f t="shared" ref="E12" si="3">SUM(D12)</f>
        <v>0.37500000000000006</v>
      </c>
      <c r="F12" s="7">
        <v>1500</v>
      </c>
      <c r="G12" s="8">
        <f t="shared" ref="G12" si="4">PRODUCT(E12,36000)</f>
        <v>13500.000000000002</v>
      </c>
      <c r="H12" s="9"/>
      <c r="I12" s="9"/>
      <c r="J12" s="9"/>
      <c r="K12" s="9"/>
      <c r="L12" s="9"/>
      <c r="M12" s="9"/>
      <c r="N12" s="9"/>
      <c r="O12" s="9"/>
      <c r="P12" s="9"/>
      <c r="Q12" s="10"/>
      <c r="R12" s="11"/>
      <c r="S12" s="12"/>
      <c r="T12" s="13"/>
      <c r="U12" s="14"/>
      <c r="V12" s="3"/>
      <c r="W12" s="3"/>
      <c r="X12" s="3"/>
      <c r="Y12" s="3"/>
      <c r="Z12" s="3"/>
      <c r="AA12" s="3"/>
      <c r="AB12" s="3"/>
      <c r="AC12" s="3"/>
    </row>
    <row r="13" spans="1:29" ht="15.6" x14ac:dyDescent="0.3">
      <c r="A13" s="15"/>
      <c r="B13" s="16"/>
      <c r="C13" s="16"/>
      <c r="D13" s="16"/>
      <c r="E13" s="17"/>
      <c r="F13" s="18"/>
      <c r="G13" s="19"/>
      <c r="H13" s="20"/>
      <c r="I13" s="20"/>
      <c r="J13" s="20"/>
      <c r="K13" s="20"/>
      <c r="L13" s="20"/>
      <c r="M13" s="20"/>
      <c r="N13" s="20"/>
      <c r="O13" s="20"/>
      <c r="P13" s="20"/>
      <c r="Q13" s="21"/>
      <c r="R13" s="22"/>
      <c r="S13" s="23"/>
      <c r="T13" s="24"/>
      <c r="U13" s="25"/>
      <c r="V13" s="3"/>
      <c r="W13" s="3"/>
      <c r="X13" s="3"/>
      <c r="Y13" s="3"/>
      <c r="Z13" s="3"/>
      <c r="AA13" s="3"/>
      <c r="AB13" s="3"/>
      <c r="AC13" s="3"/>
    </row>
    <row r="14" spans="1:29" ht="15.6" x14ac:dyDescent="0.3">
      <c r="A14" s="15"/>
      <c r="B14" s="16"/>
      <c r="C14" s="16"/>
      <c r="D14" s="16"/>
      <c r="E14" s="17"/>
      <c r="F14" s="18"/>
      <c r="G14" s="19"/>
      <c r="H14" s="20"/>
      <c r="I14" s="20"/>
      <c r="J14" s="20"/>
      <c r="K14" s="20"/>
      <c r="L14" s="20"/>
      <c r="M14" s="20"/>
      <c r="N14" s="20"/>
      <c r="O14" s="20"/>
      <c r="P14" s="20"/>
      <c r="Q14" s="26"/>
      <c r="R14" s="22"/>
      <c r="S14" s="27"/>
      <c r="T14" s="24"/>
      <c r="U14" s="25"/>
      <c r="V14" s="3"/>
      <c r="W14" s="3"/>
      <c r="X14" s="3"/>
      <c r="Y14" s="3"/>
      <c r="Z14" s="3"/>
      <c r="AA14" s="3"/>
      <c r="AB14" s="3"/>
      <c r="AC14" s="3"/>
    </row>
    <row r="15" spans="1:29" ht="16.2" thickBot="1" x14ac:dyDescent="0.35">
      <c r="A15" s="28"/>
      <c r="B15" s="29"/>
      <c r="C15" s="29"/>
      <c r="D15" s="29"/>
      <c r="E15" s="30"/>
      <c r="F15" s="31"/>
      <c r="G15" s="32"/>
      <c r="H15" s="33"/>
      <c r="I15" s="33"/>
      <c r="J15" s="33"/>
      <c r="K15" s="33"/>
      <c r="L15" s="33"/>
      <c r="M15" s="33"/>
      <c r="N15" s="33"/>
      <c r="O15" s="33"/>
      <c r="P15" s="33"/>
      <c r="Q15" s="34"/>
      <c r="R15" s="35"/>
      <c r="S15" s="36"/>
      <c r="T15" s="37"/>
      <c r="U15" s="38"/>
      <c r="V15" s="3"/>
      <c r="W15" s="3"/>
      <c r="X15" s="3"/>
      <c r="Y15" s="3"/>
      <c r="Z15" s="3"/>
      <c r="AA15" s="3"/>
      <c r="AB15" s="3"/>
      <c r="AC15" s="3"/>
    </row>
    <row r="16" spans="1:29" ht="15.6" x14ac:dyDescent="0.3">
      <c r="A16" s="4">
        <v>43797</v>
      </c>
      <c r="B16" s="5">
        <v>0.52083333333333337</v>
      </c>
      <c r="C16" s="5">
        <v>0.70833333333333337</v>
      </c>
      <c r="D16" s="5">
        <f t="shared" ref="D16" si="5">SUM(C16-B16)</f>
        <v>0.1875</v>
      </c>
      <c r="E16" s="6">
        <f t="shared" ref="E16" si="6">SUM(D16)</f>
        <v>0.1875</v>
      </c>
      <c r="F16" s="7">
        <v>1500</v>
      </c>
      <c r="G16" s="8">
        <f t="shared" ref="G16" si="7">PRODUCT(E16,36000)</f>
        <v>6750</v>
      </c>
      <c r="H16" s="9"/>
      <c r="I16" s="9"/>
      <c r="J16" s="9"/>
      <c r="K16" s="9"/>
      <c r="L16" s="9"/>
      <c r="M16" s="9"/>
      <c r="N16" s="9"/>
      <c r="O16" s="9"/>
      <c r="P16" s="9"/>
      <c r="Q16" s="26"/>
      <c r="R16" s="11"/>
      <c r="S16" s="27" t="s">
        <v>4</v>
      </c>
      <c r="T16" s="13">
        <v>60000</v>
      </c>
      <c r="U16" s="14"/>
      <c r="V16" s="3"/>
      <c r="W16" s="3"/>
      <c r="X16" s="3"/>
      <c r="Y16" s="3"/>
      <c r="Z16" s="3"/>
      <c r="AA16" s="3"/>
      <c r="AB16" s="3"/>
      <c r="AC16" s="3"/>
    </row>
    <row r="17" spans="1:29" ht="16.2" thickBot="1" x14ac:dyDescent="0.35">
      <c r="A17" s="15"/>
      <c r="B17" s="16"/>
      <c r="C17" s="16"/>
      <c r="D17" s="16"/>
      <c r="E17" s="17"/>
      <c r="F17" s="18"/>
      <c r="G17" s="19"/>
      <c r="H17" s="20"/>
      <c r="I17" s="20"/>
      <c r="J17" s="20"/>
      <c r="K17" s="20"/>
      <c r="L17" s="20"/>
      <c r="M17" s="20"/>
      <c r="N17" s="20"/>
      <c r="O17" s="20"/>
      <c r="P17" s="20"/>
      <c r="Q17" s="34"/>
      <c r="R17" s="22"/>
      <c r="S17" s="36"/>
      <c r="T17" s="24"/>
      <c r="U17" s="25"/>
      <c r="V17" s="3"/>
      <c r="W17" s="3"/>
      <c r="X17" s="3"/>
      <c r="Y17" s="3"/>
      <c r="Z17" s="3"/>
      <c r="AA17" s="3"/>
      <c r="AB17" s="3"/>
      <c r="AC17" s="3"/>
    </row>
    <row r="18" spans="1:29" ht="15.6" x14ac:dyDescent="0.3">
      <c r="A18" s="15"/>
      <c r="B18" s="16"/>
      <c r="C18" s="16"/>
      <c r="D18" s="16"/>
      <c r="E18" s="17"/>
      <c r="F18" s="18"/>
      <c r="G18" s="19"/>
      <c r="H18" s="20"/>
      <c r="I18" s="20"/>
      <c r="J18" s="20"/>
      <c r="K18" s="20"/>
      <c r="L18" s="20"/>
      <c r="M18" s="20"/>
      <c r="N18" s="20"/>
      <c r="O18" s="20"/>
      <c r="P18" s="20"/>
      <c r="Q18" s="26"/>
      <c r="R18" s="22"/>
      <c r="S18" s="27"/>
      <c r="T18" s="24"/>
      <c r="U18" s="25"/>
      <c r="V18" s="3"/>
      <c r="W18" s="3"/>
      <c r="X18" s="3"/>
      <c r="Y18" s="3"/>
      <c r="Z18" s="3"/>
      <c r="AA18" s="3"/>
      <c r="AB18" s="3"/>
      <c r="AC18" s="3"/>
    </row>
    <row r="19" spans="1:29" ht="16.2" thickBot="1" x14ac:dyDescent="0.35">
      <c r="A19" s="28"/>
      <c r="B19" s="29"/>
      <c r="C19" s="29"/>
      <c r="D19" s="29"/>
      <c r="E19" s="30"/>
      <c r="F19" s="31"/>
      <c r="G19" s="32"/>
      <c r="H19" s="33"/>
      <c r="I19" s="33"/>
      <c r="J19" s="33"/>
      <c r="K19" s="33"/>
      <c r="L19" s="33"/>
      <c r="M19" s="33"/>
      <c r="N19" s="33"/>
      <c r="O19" s="33"/>
      <c r="P19" s="33"/>
      <c r="Q19" s="34"/>
      <c r="R19" s="35"/>
      <c r="S19" s="36"/>
      <c r="T19" s="37"/>
      <c r="U19" s="38"/>
      <c r="V19" s="3"/>
      <c r="W19" s="3"/>
      <c r="X19" s="3"/>
      <c r="Y19" s="3"/>
      <c r="Z19" s="3"/>
      <c r="AA19" s="3"/>
      <c r="AB19" s="3"/>
      <c r="AC19" s="3"/>
    </row>
    <row r="20" spans="1:29" ht="15.6" x14ac:dyDescent="0.3">
      <c r="A20" s="4">
        <v>43798</v>
      </c>
      <c r="B20" s="5"/>
      <c r="C20" s="5"/>
      <c r="D20" s="5">
        <f t="shared" ref="D20" si="8">SUM(C20-B20)</f>
        <v>0</v>
      </c>
      <c r="E20" s="6">
        <f t="shared" ref="E20" si="9">SUM(D20)</f>
        <v>0</v>
      </c>
      <c r="F20" s="7">
        <v>1500</v>
      </c>
      <c r="G20" s="8">
        <f t="shared" ref="G20" si="10">PRODUCT(E20,36000)</f>
        <v>0</v>
      </c>
      <c r="H20" s="9"/>
      <c r="I20" s="9"/>
      <c r="J20" s="9"/>
      <c r="K20" s="9"/>
      <c r="L20" s="9"/>
      <c r="M20" s="9"/>
      <c r="N20" s="9"/>
      <c r="O20" s="9"/>
      <c r="P20" s="9"/>
      <c r="Q20" s="10"/>
      <c r="R20" s="11"/>
      <c r="S20" s="12"/>
      <c r="T20" s="13"/>
      <c r="U20" s="14"/>
      <c r="V20" s="3"/>
      <c r="W20" s="3"/>
      <c r="X20" s="3"/>
      <c r="Y20" s="3"/>
      <c r="Z20" s="3"/>
      <c r="AA20" s="3"/>
      <c r="AB20" s="3"/>
      <c r="AC20" s="3"/>
    </row>
    <row r="21" spans="1:29" ht="15.6" x14ac:dyDescent="0.3">
      <c r="A21" s="15"/>
      <c r="B21" s="16"/>
      <c r="C21" s="16"/>
      <c r="D21" s="16"/>
      <c r="E21" s="17"/>
      <c r="F21" s="18"/>
      <c r="G21" s="19"/>
      <c r="H21" s="20"/>
      <c r="I21" s="20"/>
      <c r="J21" s="20"/>
      <c r="K21" s="20"/>
      <c r="L21" s="20"/>
      <c r="M21" s="20"/>
      <c r="N21" s="20"/>
      <c r="O21" s="20"/>
      <c r="P21" s="20"/>
      <c r="Q21" s="21"/>
      <c r="R21" s="22"/>
      <c r="S21" s="23"/>
      <c r="T21" s="24"/>
      <c r="U21" s="25"/>
      <c r="V21" s="3"/>
      <c r="W21" s="3"/>
      <c r="X21" s="3"/>
      <c r="Y21" s="3"/>
      <c r="Z21" s="3"/>
      <c r="AA21" s="3"/>
      <c r="AB21" s="3"/>
      <c r="AC21" s="3"/>
    </row>
    <row r="22" spans="1:29" ht="15.6" x14ac:dyDescent="0.3">
      <c r="A22" s="15"/>
      <c r="B22" s="16"/>
      <c r="C22" s="16"/>
      <c r="D22" s="16"/>
      <c r="E22" s="17"/>
      <c r="F22" s="18"/>
      <c r="G22" s="19"/>
      <c r="H22" s="20"/>
      <c r="I22" s="20"/>
      <c r="J22" s="20"/>
      <c r="K22" s="20"/>
      <c r="L22" s="20"/>
      <c r="M22" s="20"/>
      <c r="N22" s="20"/>
      <c r="O22" s="20"/>
      <c r="P22" s="20"/>
      <c r="Q22" s="26"/>
      <c r="R22" s="22"/>
      <c r="S22" s="27"/>
      <c r="T22" s="24"/>
      <c r="U22" s="25"/>
      <c r="V22" s="3"/>
      <c r="W22" s="3"/>
      <c r="X22" s="3"/>
      <c r="Y22" s="3"/>
      <c r="Z22" s="3"/>
      <c r="AA22" s="3"/>
      <c r="AB22" s="3"/>
      <c r="AC22" s="3"/>
    </row>
    <row r="23" spans="1:29" ht="16.2" thickBot="1" x14ac:dyDescent="0.35">
      <c r="A23" s="28"/>
      <c r="B23" s="29"/>
      <c r="C23" s="29"/>
      <c r="D23" s="29"/>
      <c r="E23" s="30"/>
      <c r="F23" s="31"/>
      <c r="G23" s="32"/>
      <c r="H23" s="33"/>
      <c r="I23" s="33"/>
      <c r="J23" s="33"/>
      <c r="K23" s="33"/>
      <c r="L23" s="33"/>
      <c r="M23" s="33"/>
      <c r="N23" s="33"/>
      <c r="O23" s="33"/>
      <c r="P23" s="33"/>
      <c r="Q23" s="34"/>
      <c r="R23" s="35"/>
      <c r="S23" s="36"/>
      <c r="T23" s="37"/>
      <c r="U23" s="38"/>
      <c r="V23" s="3"/>
      <c r="W23" s="3"/>
      <c r="X23" s="3"/>
      <c r="Y23" s="3"/>
      <c r="Z23" s="3"/>
      <c r="AA23" s="3"/>
      <c r="AB23" s="3"/>
      <c r="AC23" s="3"/>
    </row>
    <row r="24" spans="1:29" ht="15.6" x14ac:dyDescent="0.3">
      <c r="A24" s="4">
        <v>43799</v>
      </c>
      <c r="B24" s="5"/>
      <c r="C24" s="5"/>
      <c r="D24" s="5">
        <f t="shared" ref="D24" si="11">SUM(C24-B24)</f>
        <v>0</v>
      </c>
      <c r="E24" s="6">
        <f t="shared" ref="E24" si="12">SUM(D24)</f>
        <v>0</v>
      </c>
      <c r="F24" s="7">
        <v>1500</v>
      </c>
      <c r="G24" s="8">
        <f t="shared" ref="G24" si="13">PRODUCT(E24,36000)</f>
        <v>0</v>
      </c>
      <c r="H24" s="9"/>
      <c r="I24" s="9"/>
      <c r="J24" s="9"/>
      <c r="K24" s="9"/>
      <c r="L24" s="9"/>
      <c r="M24" s="9"/>
      <c r="N24" s="9"/>
      <c r="O24" s="9"/>
      <c r="P24" s="9"/>
      <c r="Q24" s="10"/>
      <c r="R24" s="11"/>
      <c r="S24" s="12"/>
      <c r="T24" s="13"/>
      <c r="U24" s="14"/>
      <c r="V24" s="3"/>
      <c r="W24" s="3"/>
      <c r="X24" s="3"/>
      <c r="Y24" s="3"/>
      <c r="Z24" s="3"/>
      <c r="AA24" s="3"/>
      <c r="AB24" s="3"/>
      <c r="AC24" s="3"/>
    </row>
    <row r="25" spans="1:29" ht="15.6" x14ac:dyDescent="0.3">
      <c r="A25" s="15"/>
      <c r="B25" s="16"/>
      <c r="C25" s="16"/>
      <c r="D25" s="16"/>
      <c r="E25" s="17"/>
      <c r="F25" s="18"/>
      <c r="G25" s="19"/>
      <c r="H25" s="20"/>
      <c r="I25" s="20"/>
      <c r="J25" s="20"/>
      <c r="K25" s="20"/>
      <c r="L25" s="20"/>
      <c r="M25" s="20"/>
      <c r="N25" s="20"/>
      <c r="O25" s="20"/>
      <c r="P25" s="20"/>
      <c r="Q25" s="21"/>
      <c r="R25" s="22"/>
      <c r="S25" s="23"/>
      <c r="T25" s="24"/>
      <c r="U25" s="25"/>
      <c r="V25" s="3"/>
      <c r="W25" s="3"/>
      <c r="X25" s="3"/>
      <c r="Y25" s="3"/>
      <c r="Z25" s="3"/>
      <c r="AA25" s="3"/>
      <c r="AB25" s="3"/>
      <c r="AC25" s="3"/>
    </row>
    <row r="26" spans="1:29" ht="15.6" x14ac:dyDescent="0.3">
      <c r="A26" s="15"/>
      <c r="B26" s="16"/>
      <c r="C26" s="16"/>
      <c r="D26" s="16"/>
      <c r="E26" s="17"/>
      <c r="F26" s="18"/>
      <c r="G26" s="19"/>
      <c r="H26" s="20"/>
      <c r="I26" s="20"/>
      <c r="J26" s="20"/>
      <c r="K26" s="20"/>
      <c r="L26" s="20"/>
      <c r="M26" s="20"/>
      <c r="N26" s="20"/>
      <c r="O26" s="20"/>
      <c r="P26" s="20"/>
      <c r="Q26" s="26"/>
      <c r="R26" s="22"/>
      <c r="S26" s="27"/>
      <c r="T26" s="24"/>
      <c r="U26" s="25"/>
      <c r="V26" s="3"/>
      <c r="W26" s="3"/>
      <c r="X26" s="3"/>
      <c r="Y26" s="3"/>
      <c r="Z26" s="3"/>
      <c r="AA26" s="3"/>
      <c r="AB26" s="3"/>
      <c r="AC26" s="3"/>
    </row>
    <row r="27" spans="1:29" ht="16.2" thickBot="1" x14ac:dyDescent="0.35">
      <c r="A27" s="28"/>
      <c r="B27" s="29"/>
      <c r="C27" s="29"/>
      <c r="D27" s="29"/>
      <c r="E27" s="30"/>
      <c r="F27" s="31"/>
      <c r="G27" s="32"/>
      <c r="H27" s="33"/>
      <c r="I27" s="33"/>
      <c r="J27" s="33"/>
      <c r="K27" s="33"/>
      <c r="L27" s="33"/>
      <c r="M27" s="33"/>
      <c r="N27" s="33"/>
      <c r="O27" s="33"/>
      <c r="P27" s="33"/>
      <c r="Q27" s="34"/>
      <c r="R27" s="35"/>
      <c r="S27" s="36"/>
      <c r="T27" s="37"/>
      <c r="U27" s="38"/>
      <c r="V27" s="3"/>
      <c r="W27" s="3"/>
      <c r="X27" s="3"/>
      <c r="Y27" s="3"/>
      <c r="Z27" s="3"/>
      <c r="AA27" s="3"/>
      <c r="AB27" s="3"/>
      <c r="AC27" s="3"/>
    </row>
    <row r="28" spans="1:29" ht="15.6" x14ac:dyDescent="0.3">
      <c r="A28" s="39">
        <v>43800</v>
      </c>
      <c r="B28" s="40"/>
      <c r="C28" s="40"/>
      <c r="D28" s="40"/>
      <c r="E28" s="41"/>
      <c r="F28" s="42"/>
      <c r="G28" s="43">
        <f>SUM(G4,G8:G27)</f>
        <v>40500</v>
      </c>
      <c r="H28" s="44"/>
      <c r="I28" s="44"/>
      <c r="J28" s="44"/>
      <c r="K28" s="44"/>
      <c r="L28" s="44"/>
      <c r="M28" s="44"/>
      <c r="N28" s="44"/>
      <c r="O28" s="44"/>
      <c r="P28" s="44"/>
      <c r="Q28" s="45"/>
      <c r="R28" s="46">
        <f>SUM(R4:R27)</f>
        <v>0</v>
      </c>
      <c r="S28" s="47">
        <f>SUM(G28:R31)</f>
        <v>40500</v>
      </c>
      <c r="T28" s="48">
        <f>SUM(T4:T27)</f>
        <v>60000</v>
      </c>
      <c r="U28" s="49">
        <f>S28-T28</f>
        <v>-19500</v>
      </c>
      <c r="V28" s="3"/>
      <c r="W28" s="3"/>
      <c r="X28" s="3"/>
      <c r="Y28" s="3"/>
      <c r="Z28" s="3"/>
      <c r="AA28" s="3"/>
      <c r="AB28" s="3"/>
      <c r="AC28" s="3"/>
    </row>
    <row r="29" spans="1:29" ht="15.6" x14ac:dyDescent="0.3">
      <c r="A29" s="50"/>
      <c r="B29" s="51"/>
      <c r="C29" s="51"/>
      <c r="D29" s="51"/>
      <c r="E29" s="52"/>
      <c r="F29" s="53"/>
      <c r="G29" s="54"/>
      <c r="H29" s="55"/>
      <c r="I29" s="55"/>
      <c r="J29" s="55"/>
      <c r="K29" s="55"/>
      <c r="L29" s="55"/>
      <c r="M29" s="55"/>
      <c r="N29" s="55"/>
      <c r="O29" s="55"/>
      <c r="P29" s="55"/>
      <c r="Q29" s="56"/>
      <c r="R29" s="57"/>
      <c r="S29" s="58"/>
      <c r="T29" s="59"/>
      <c r="U29" s="60"/>
      <c r="V29" s="3"/>
      <c r="W29" s="3"/>
      <c r="X29" s="3"/>
      <c r="Y29" s="3"/>
      <c r="Z29" s="3"/>
      <c r="AA29" s="3"/>
      <c r="AB29" s="3"/>
      <c r="AC29" s="3"/>
    </row>
    <row r="30" spans="1:29" ht="15.6" x14ac:dyDescent="0.3">
      <c r="A30" s="50"/>
      <c r="B30" s="51"/>
      <c r="C30" s="51"/>
      <c r="D30" s="51"/>
      <c r="E30" s="52"/>
      <c r="F30" s="53"/>
      <c r="G30" s="54"/>
      <c r="H30" s="55"/>
      <c r="I30" s="55"/>
      <c r="J30" s="55"/>
      <c r="K30" s="55"/>
      <c r="L30" s="55"/>
      <c r="M30" s="55"/>
      <c r="N30" s="55"/>
      <c r="O30" s="55"/>
      <c r="P30" s="55"/>
      <c r="Q30" s="56"/>
      <c r="R30" s="57"/>
      <c r="S30" s="58"/>
      <c r="T30" s="59"/>
      <c r="U30" s="60"/>
      <c r="V30" s="3"/>
      <c r="W30" s="3"/>
      <c r="X30" s="3"/>
      <c r="Y30" s="3"/>
      <c r="Z30" s="3"/>
      <c r="AA30" s="3"/>
      <c r="AB30" s="3"/>
      <c r="AC30" s="3"/>
    </row>
    <row r="31" spans="1:29" ht="16.2" thickBot="1" x14ac:dyDescent="0.35">
      <c r="A31" s="61"/>
      <c r="B31" s="62"/>
      <c r="C31" s="62"/>
      <c r="D31" s="62"/>
      <c r="E31" s="63"/>
      <c r="F31" s="64"/>
      <c r="G31" s="65"/>
      <c r="H31" s="66"/>
      <c r="I31" s="66"/>
      <c r="J31" s="66"/>
      <c r="K31" s="66"/>
      <c r="L31" s="66"/>
      <c r="M31" s="66"/>
      <c r="N31" s="66"/>
      <c r="O31" s="66"/>
      <c r="P31" s="66"/>
      <c r="Q31" s="67"/>
      <c r="R31" s="68"/>
      <c r="S31" s="69"/>
      <c r="T31" s="70"/>
      <c r="U31" s="71"/>
      <c r="V31" s="3"/>
      <c r="W31" s="3"/>
      <c r="X31" s="3"/>
      <c r="Y31" s="3"/>
      <c r="Z31" s="3"/>
      <c r="AA31" s="3"/>
      <c r="AB31" s="3"/>
      <c r="AC31" s="3"/>
    </row>
    <row r="32" spans="1:29" ht="15.6" x14ac:dyDescent="0.3">
      <c r="A32" s="4">
        <v>43624</v>
      </c>
      <c r="B32" s="5"/>
      <c r="C32" s="5"/>
      <c r="D32" s="5">
        <f t="shared" ref="D32" si="14">SUM(C32-B32)</f>
        <v>0</v>
      </c>
      <c r="E32" s="6">
        <f t="shared" ref="E32" si="15">SUM(D32)</f>
        <v>0</v>
      </c>
      <c r="F32" s="7">
        <v>1500</v>
      </c>
      <c r="G32" s="8">
        <f t="shared" ref="G32:G88" si="16">PRODUCT(E32,36000)</f>
        <v>0</v>
      </c>
      <c r="H32" s="9"/>
      <c r="I32" s="9"/>
      <c r="J32" s="9"/>
      <c r="K32" s="9"/>
      <c r="L32" s="9"/>
      <c r="M32" s="9"/>
      <c r="N32" s="9"/>
      <c r="O32" s="9"/>
      <c r="P32" s="9"/>
      <c r="Q32" s="10"/>
      <c r="R32" s="11"/>
      <c r="S32" s="12"/>
      <c r="T32" s="13"/>
      <c r="U32" s="14"/>
      <c r="V32" s="3"/>
      <c r="W32" s="3"/>
      <c r="X32" s="3"/>
      <c r="Y32" s="3"/>
      <c r="Z32" s="3"/>
      <c r="AA32" s="3"/>
      <c r="AB32" s="3"/>
      <c r="AC32" s="3"/>
    </row>
    <row r="33" spans="1:29" ht="15.6" x14ac:dyDescent="0.3">
      <c r="A33" s="15"/>
      <c r="B33" s="16"/>
      <c r="C33" s="16"/>
      <c r="D33" s="16"/>
      <c r="E33" s="17"/>
      <c r="F33" s="18"/>
      <c r="G33" s="19"/>
      <c r="H33" s="20"/>
      <c r="I33" s="20"/>
      <c r="J33" s="20"/>
      <c r="K33" s="20"/>
      <c r="L33" s="20"/>
      <c r="M33" s="20"/>
      <c r="N33" s="20"/>
      <c r="O33" s="20"/>
      <c r="P33" s="20"/>
      <c r="Q33" s="21"/>
      <c r="R33" s="22"/>
      <c r="S33" s="23"/>
      <c r="T33" s="24"/>
      <c r="U33" s="25"/>
      <c r="V33" s="3"/>
      <c r="W33" s="3"/>
      <c r="X33" s="3"/>
      <c r="Y33" s="3"/>
      <c r="Z33" s="3"/>
      <c r="AA33" s="3"/>
      <c r="AB33" s="3"/>
      <c r="AC33" s="3"/>
    </row>
    <row r="34" spans="1:29" ht="15.6" x14ac:dyDescent="0.3">
      <c r="A34" s="15"/>
      <c r="B34" s="16"/>
      <c r="C34" s="16"/>
      <c r="D34" s="16"/>
      <c r="E34" s="17"/>
      <c r="F34" s="18"/>
      <c r="G34" s="19"/>
      <c r="H34" s="20"/>
      <c r="I34" s="20"/>
      <c r="J34" s="20"/>
      <c r="K34" s="20"/>
      <c r="L34" s="20"/>
      <c r="M34" s="20"/>
      <c r="N34" s="20"/>
      <c r="O34" s="20"/>
      <c r="P34" s="20"/>
      <c r="Q34" s="26"/>
      <c r="R34" s="22"/>
      <c r="S34" s="27"/>
      <c r="T34" s="24"/>
      <c r="U34" s="25"/>
      <c r="V34" s="3"/>
      <c r="W34" s="3"/>
      <c r="X34" s="3"/>
      <c r="Y34" s="3"/>
      <c r="Z34" s="3"/>
      <c r="AA34" s="3"/>
      <c r="AB34" s="3"/>
      <c r="AC34" s="3"/>
    </row>
    <row r="35" spans="1:29" ht="16.2" thickBot="1" x14ac:dyDescent="0.35">
      <c r="A35" s="28"/>
      <c r="B35" s="29"/>
      <c r="C35" s="29"/>
      <c r="D35" s="29"/>
      <c r="E35" s="30"/>
      <c r="F35" s="31"/>
      <c r="G35" s="32"/>
      <c r="H35" s="33"/>
      <c r="I35" s="33"/>
      <c r="J35" s="33"/>
      <c r="K35" s="33"/>
      <c r="L35" s="33"/>
      <c r="M35" s="33"/>
      <c r="N35" s="33"/>
      <c r="O35" s="33"/>
      <c r="P35" s="33"/>
      <c r="Q35" s="34"/>
      <c r="R35" s="35"/>
      <c r="S35" s="36"/>
      <c r="T35" s="37"/>
      <c r="U35" s="38"/>
      <c r="V35" s="3"/>
      <c r="W35" s="3"/>
      <c r="X35" s="3"/>
      <c r="Y35" s="3"/>
      <c r="Z35" s="3"/>
      <c r="AA35" s="3"/>
      <c r="AB35" s="3"/>
      <c r="AC35" s="3"/>
    </row>
    <row r="36" spans="1:29" ht="15.6" x14ac:dyDescent="0.3">
      <c r="A36" s="4">
        <v>43625</v>
      </c>
      <c r="B36" s="5"/>
      <c r="C36" s="5"/>
      <c r="D36" s="5">
        <f t="shared" ref="D36" si="17">SUM(C36-B36)</f>
        <v>0</v>
      </c>
      <c r="E36" s="6">
        <f t="shared" ref="E36:E96" si="18">SUM(D36)</f>
        <v>0</v>
      </c>
      <c r="F36" s="7">
        <v>1500</v>
      </c>
      <c r="G36" s="8">
        <f t="shared" si="16"/>
        <v>0</v>
      </c>
      <c r="H36" s="9"/>
      <c r="I36" s="9"/>
      <c r="J36" s="9"/>
      <c r="K36" s="9"/>
      <c r="L36" s="9"/>
      <c r="M36" s="9"/>
      <c r="N36" s="9"/>
      <c r="O36" s="9"/>
      <c r="P36" s="9"/>
      <c r="Q36" s="10"/>
      <c r="R36" s="11"/>
      <c r="S36" s="12"/>
      <c r="T36" s="13"/>
      <c r="U36" s="14"/>
      <c r="V36" s="3"/>
      <c r="W36" s="3"/>
      <c r="X36" s="3"/>
      <c r="Y36" s="3"/>
      <c r="Z36" s="3"/>
      <c r="AA36" s="3"/>
      <c r="AB36" s="3"/>
      <c r="AC36" s="3"/>
    </row>
    <row r="37" spans="1:29" ht="15.6" x14ac:dyDescent="0.3">
      <c r="A37" s="15"/>
      <c r="B37" s="16"/>
      <c r="C37" s="16"/>
      <c r="D37" s="16"/>
      <c r="E37" s="17"/>
      <c r="F37" s="18"/>
      <c r="G37" s="19"/>
      <c r="H37" s="20"/>
      <c r="I37" s="20"/>
      <c r="J37" s="20"/>
      <c r="K37" s="20"/>
      <c r="L37" s="20"/>
      <c r="M37" s="20"/>
      <c r="N37" s="20"/>
      <c r="O37" s="20"/>
      <c r="P37" s="20"/>
      <c r="Q37" s="21"/>
      <c r="R37" s="22"/>
      <c r="S37" s="23"/>
      <c r="T37" s="24"/>
      <c r="U37" s="25"/>
      <c r="V37" s="3"/>
      <c r="W37" s="3"/>
      <c r="X37" s="3"/>
      <c r="Y37" s="3"/>
      <c r="Z37" s="3"/>
      <c r="AA37" s="3"/>
      <c r="AB37" s="3"/>
      <c r="AC37" s="3"/>
    </row>
    <row r="38" spans="1:29" ht="15.6" x14ac:dyDescent="0.3">
      <c r="A38" s="15"/>
      <c r="B38" s="16"/>
      <c r="C38" s="16"/>
      <c r="D38" s="16"/>
      <c r="E38" s="17"/>
      <c r="F38" s="18"/>
      <c r="G38" s="19"/>
      <c r="H38" s="20"/>
      <c r="I38" s="20"/>
      <c r="J38" s="20"/>
      <c r="K38" s="20"/>
      <c r="L38" s="20"/>
      <c r="M38" s="20"/>
      <c r="N38" s="20"/>
      <c r="O38" s="20"/>
      <c r="P38" s="20"/>
      <c r="Q38" s="26"/>
      <c r="R38" s="22"/>
      <c r="S38" s="27"/>
      <c r="T38" s="24"/>
      <c r="U38" s="25"/>
      <c r="V38" s="3"/>
      <c r="W38" s="3"/>
      <c r="X38" s="3"/>
      <c r="Y38" s="3"/>
      <c r="Z38" s="3"/>
      <c r="AA38" s="3"/>
      <c r="AB38" s="3"/>
      <c r="AC38" s="3"/>
    </row>
    <row r="39" spans="1:29" ht="16.2" thickBot="1" x14ac:dyDescent="0.35">
      <c r="A39" s="28"/>
      <c r="B39" s="29"/>
      <c r="C39" s="29"/>
      <c r="D39" s="29"/>
      <c r="E39" s="30"/>
      <c r="F39" s="31"/>
      <c r="G39" s="32"/>
      <c r="H39" s="33"/>
      <c r="I39" s="33"/>
      <c r="J39" s="33"/>
      <c r="K39" s="33"/>
      <c r="L39" s="33"/>
      <c r="M39" s="33"/>
      <c r="N39" s="33"/>
      <c r="O39" s="33"/>
      <c r="P39" s="33"/>
      <c r="Q39" s="34"/>
      <c r="R39" s="35"/>
      <c r="S39" s="36"/>
      <c r="T39" s="37"/>
      <c r="U39" s="38"/>
      <c r="V39" s="3"/>
      <c r="W39" s="3"/>
      <c r="X39" s="3"/>
      <c r="Y39" s="3"/>
      <c r="Z39" s="3"/>
      <c r="AA39" s="3"/>
      <c r="AB39" s="3"/>
      <c r="AC39" s="3"/>
    </row>
    <row r="40" spans="1:29" ht="15.6" x14ac:dyDescent="0.3">
      <c r="A40" s="4">
        <v>43626</v>
      </c>
      <c r="B40" s="5"/>
      <c r="C40" s="5"/>
      <c r="D40" s="5">
        <f t="shared" ref="D40" si="19">SUM(C40-B40)</f>
        <v>0</v>
      </c>
      <c r="E40" s="6">
        <f t="shared" si="18"/>
        <v>0</v>
      </c>
      <c r="F40" s="7">
        <v>1500</v>
      </c>
      <c r="G40" s="8">
        <f t="shared" si="16"/>
        <v>0</v>
      </c>
      <c r="H40" s="9"/>
      <c r="I40" s="9"/>
      <c r="J40" s="9"/>
      <c r="K40" s="9"/>
      <c r="L40" s="9"/>
      <c r="M40" s="9"/>
      <c r="N40" s="9"/>
      <c r="O40" s="9"/>
      <c r="P40" s="9"/>
      <c r="Q40" s="10"/>
      <c r="R40" s="11"/>
      <c r="S40" s="12"/>
      <c r="T40" s="13"/>
      <c r="U40" s="14"/>
      <c r="V40" s="3"/>
      <c r="W40" s="3"/>
      <c r="X40" s="3"/>
      <c r="Y40" s="3"/>
      <c r="Z40" s="3"/>
      <c r="AA40" s="3"/>
      <c r="AB40" s="3"/>
      <c r="AC40" s="3"/>
    </row>
    <row r="41" spans="1:29" ht="15.6" x14ac:dyDescent="0.3">
      <c r="A41" s="15"/>
      <c r="B41" s="16"/>
      <c r="C41" s="16"/>
      <c r="D41" s="16"/>
      <c r="E41" s="17"/>
      <c r="F41" s="18"/>
      <c r="G41" s="19"/>
      <c r="H41" s="20"/>
      <c r="I41" s="20"/>
      <c r="J41" s="20"/>
      <c r="K41" s="20"/>
      <c r="L41" s="20"/>
      <c r="M41" s="20"/>
      <c r="N41" s="20"/>
      <c r="O41" s="20"/>
      <c r="P41" s="20"/>
      <c r="Q41" s="21"/>
      <c r="R41" s="22"/>
      <c r="S41" s="23"/>
      <c r="T41" s="24"/>
      <c r="U41" s="25"/>
      <c r="V41" s="3"/>
      <c r="W41" s="3"/>
      <c r="X41" s="3"/>
      <c r="Y41" s="3"/>
      <c r="Z41" s="3"/>
      <c r="AA41" s="3"/>
      <c r="AB41" s="3"/>
      <c r="AC41" s="3"/>
    </row>
    <row r="42" spans="1:29" ht="15.6" x14ac:dyDescent="0.3">
      <c r="A42" s="15"/>
      <c r="B42" s="16"/>
      <c r="C42" s="16"/>
      <c r="D42" s="16"/>
      <c r="E42" s="17"/>
      <c r="F42" s="18"/>
      <c r="G42" s="19"/>
      <c r="H42" s="20"/>
      <c r="I42" s="20"/>
      <c r="J42" s="20"/>
      <c r="K42" s="20"/>
      <c r="L42" s="20"/>
      <c r="M42" s="20"/>
      <c r="N42" s="20"/>
      <c r="O42" s="20"/>
      <c r="P42" s="20"/>
      <c r="Q42" s="26"/>
      <c r="R42" s="22"/>
      <c r="S42" s="27"/>
      <c r="T42" s="24"/>
      <c r="U42" s="25"/>
      <c r="V42" s="3"/>
      <c r="W42" s="3"/>
      <c r="X42" s="3"/>
      <c r="Y42" s="3"/>
      <c r="Z42" s="3"/>
      <c r="AA42" s="3"/>
      <c r="AB42" s="3"/>
      <c r="AC42" s="3"/>
    </row>
    <row r="43" spans="1:29" ht="16.2" thickBot="1" x14ac:dyDescent="0.35">
      <c r="A43" s="28"/>
      <c r="B43" s="29"/>
      <c r="C43" s="29"/>
      <c r="D43" s="29"/>
      <c r="E43" s="30"/>
      <c r="F43" s="31"/>
      <c r="G43" s="32"/>
      <c r="H43" s="33"/>
      <c r="I43" s="33"/>
      <c r="J43" s="33"/>
      <c r="K43" s="33"/>
      <c r="L43" s="33"/>
      <c r="M43" s="33"/>
      <c r="N43" s="33"/>
      <c r="O43" s="33"/>
      <c r="P43" s="33"/>
      <c r="Q43" s="34"/>
      <c r="R43" s="35"/>
      <c r="S43" s="36"/>
      <c r="T43" s="37"/>
      <c r="U43" s="38"/>
      <c r="V43" s="3"/>
      <c r="W43" s="3"/>
      <c r="X43" s="3"/>
      <c r="Y43" s="3"/>
      <c r="Z43" s="3"/>
      <c r="AA43" s="3"/>
      <c r="AB43" s="3"/>
      <c r="AC43" s="3"/>
    </row>
    <row r="44" spans="1:29" ht="15.6" x14ac:dyDescent="0.3">
      <c r="A44" s="4">
        <v>43627</v>
      </c>
      <c r="B44" s="5"/>
      <c r="C44" s="5"/>
      <c r="D44" s="5">
        <f t="shared" ref="D44" si="20">SUM(C44-B44)</f>
        <v>0</v>
      </c>
      <c r="E44" s="6">
        <f t="shared" si="18"/>
        <v>0</v>
      </c>
      <c r="F44" s="7">
        <v>1500</v>
      </c>
      <c r="G44" s="8">
        <f t="shared" si="16"/>
        <v>0</v>
      </c>
      <c r="H44" s="9"/>
      <c r="I44" s="9"/>
      <c r="J44" s="9"/>
      <c r="K44" s="9"/>
      <c r="L44" s="9"/>
      <c r="M44" s="9"/>
      <c r="N44" s="9"/>
      <c r="O44" s="9"/>
      <c r="P44" s="9"/>
      <c r="Q44" s="10"/>
      <c r="R44" s="11"/>
      <c r="S44" s="12"/>
      <c r="T44" s="13"/>
      <c r="U44" s="14"/>
      <c r="V44" s="3"/>
      <c r="W44" s="3"/>
      <c r="X44" s="3"/>
      <c r="Y44" s="3"/>
      <c r="Z44" s="3"/>
      <c r="AA44" s="3"/>
      <c r="AB44" s="3"/>
      <c r="AC44" s="3"/>
    </row>
    <row r="45" spans="1:29" ht="15.6" x14ac:dyDescent="0.3">
      <c r="A45" s="15"/>
      <c r="B45" s="16"/>
      <c r="C45" s="16"/>
      <c r="D45" s="16"/>
      <c r="E45" s="17"/>
      <c r="F45" s="18"/>
      <c r="G45" s="19"/>
      <c r="H45" s="20"/>
      <c r="I45" s="20"/>
      <c r="J45" s="20"/>
      <c r="K45" s="20"/>
      <c r="L45" s="20"/>
      <c r="M45" s="20"/>
      <c r="N45" s="20"/>
      <c r="O45" s="20"/>
      <c r="P45" s="20"/>
      <c r="Q45" s="21"/>
      <c r="R45" s="22"/>
      <c r="S45" s="23"/>
      <c r="T45" s="24"/>
      <c r="U45" s="25"/>
      <c r="V45" s="3"/>
      <c r="W45" s="3"/>
      <c r="X45" s="3"/>
      <c r="Y45" s="3"/>
      <c r="Z45" s="3"/>
      <c r="AA45" s="3"/>
      <c r="AB45" s="3"/>
      <c r="AC45" s="3"/>
    </row>
    <row r="46" spans="1:29" ht="15.6" x14ac:dyDescent="0.3">
      <c r="A46" s="15"/>
      <c r="B46" s="16"/>
      <c r="C46" s="16"/>
      <c r="D46" s="16"/>
      <c r="E46" s="17"/>
      <c r="F46" s="18"/>
      <c r="G46" s="19"/>
      <c r="H46" s="20"/>
      <c r="I46" s="20"/>
      <c r="J46" s="20"/>
      <c r="K46" s="20"/>
      <c r="L46" s="20"/>
      <c r="M46" s="20"/>
      <c r="N46" s="20"/>
      <c r="O46" s="20"/>
      <c r="P46" s="20"/>
      <c r="Q46" s="26"/>
      <c r="R46" s="22"/>
      <c r="S46" s="27"/>
      <c r="T46" s="24"/>
      <c r="U46" s="25"/>
      <c r="V46" s="3"/>
      <c r="W46" s="3"/>
      <c r="X46" s="3"/>
      <c r="Y46" s="3"/>
      <c r="Z46" s="3"/>
      <c r="AA46" s="3"/>
      <c r="AB46" s="3"/>
      <c r="AC46" s="3"/>
    </row>
    <row r="47" spans="1:29" ht="16.2" thickBot="1" x14ac:dyDescent="0.35">
      <c r="A47" s="28"/>
      <c r="B47" s="29"/>
      <c r="C47" s="29"/>
      <c r="D47" s="29"/>
      <c r="E47" s="30"/>
      <c r="F47" s="31"/>
      <c r="G47" s="32"/>
      <c r="H47" s="33"/>
      <c r="I47" s="33"/>
      <c r="J47" s="33"/>
      <c r="K47" s="33"/>
      <c r="L47" s="33"/>
      <c r="M47" s="33"/>
      <c r="N47" s="33"/>
      <c r="O47" s="33"/>
      <c r="P47" s="33"/>
      <c r="Q47" s="34"/>
      <c r="R47" s="35"/>
      <c r="S47" s="36"/>
      <c r="T47" s="37"/>
      <c r="U47" s="38"/>
      <c r="V47" s="3"/>
      <c r="W47" s="3"/>
      <c r="X47" s="3"/>
      <c r="Y47" s="3"/>
      <c r="Z47" s="3"/>
      <c r="AA47" s="3"/>
      <c r="AB47" s="3"/>
      <c r="AC47" s="3"/>
    </row>
    <row r="48" spans="1:29" ht="15.6" x14ac:dyDescent="0.3">
      <c r="A48" s="4">
        <v>43628</v>
      </c>
      <c r="B48" s="5"/>
      <c r="C48" s="5"/>
      <c r="D48" s="5">
        <f t="shared" ref="D48" si="21">SUM(C48-B48)</f>
        <v>0</v>
      </c>
      <c r="E48" s="6">
        <f t="shared" si="18"/>
        <v>0</v>
      </c>
      <c r="F48" s="7">
        <v>1500</v>
      </c>
      <c r="G48" s="8">
        <f t="shared" si="16"/>
        <v>0</v>
      </c>
      <c r="H48" s="9"/>
      <c r="I48" s="9"/>
      <c r="J48" s="9"/>
      <c r="K48" s="9"/>
      <c r="L48" s="9"/>
      <c r="M48" s="9"/>
      <c r="N48" s="9"/>
      <c r="O48" s="9"/>
      <c r="P48" s="9"/>
      <c r="Q48" s="10"/>
      <c r="R48" s="11"/>
      <c r="S48" s="12"/>
      <c r="T48" s="13"/>
      <c r="U48" s="14"/>
      <c r="V48" s="3"/>
      <c r="W48" s="3"/>
      <c r="X48" s="3"/>
      <c r="Y48" s="3"/>
      <c r="Z48" s="3"/>
      <c r="AA48" s="3"/>
      <c r="AB48" s="3"/>
      <c r="AC48" s="3"/>
    </row>
    <row r="49" spans="1:29" ht="15.6" x14ac:dyDescent="0.3">
      <c r="A49" s="15"/>
      <c r="B49" s="16"/>
      <c r="C49" s="16"/>
      <c r="D49" s="16"/>
      <c r="E49" s="17"/>
      <c r="F49" s="18"/>
      <c r="G49" s="19"/>
      <c r="H49" s="20"/>
      <c r="I49" s="20"/>
      <c r="J49" s="20"/>
      <c r="K49" s="20"/>
      <c r="L49" s="20"/>
      <c r="M49" s="20"/>
      <c r="N49" s="20"/>
      <c r="O49" s="20"/>
      <c r="P49" s="20"/>
      <c r="Q49" s="21"/>
      <c r="R49" s="22"/>
      <c r="S49" s="23"/>
      <c r="T49" s="24"/>
      <c r="U49" s="25"/>
      <c r="V49" s="3"/>
      <c r="W49" s="3"/>
      <c r="X49" s="3"/>
      <c r="Y49" s="3"/>
      <c r="Z49" s="3"/>
      <c r="AA49" s="3"/>
      <c r="AB49" s="3"/>
      <c r="AC49" s="3"/>
    </row>
    <row r="50" spans="1:29" ht="15.6" x14ac:dyDescent="0.3">
      <c r="A50" s="15"/>
      <c r="B50" s="16"/>
      <c r="C50" s="16"/>
      <c r="D50" s="16"/>
      <c r="E50" s="17"/>
      <c r="F50" s="18"/>
      <c r="G50" s="19"/>
      <c r="H50" s="20"/>
      <c r="I50" s="20"/>
      <c r="J50" s="20"/>
      <c r="K50" s="20"/>
      <c r="L50" s="20"/>
      <c r="M50" s="20"/>
      <c r="N50" s="20"/>
      <c r="O50" s="20"/>
      <c r="P50" s="20"/>
      <c r="Q50" s="26"/>
      <c r="R50" s="22"/>
      <c r="S50" s="27"/>
      <c r="T50" s="24"/>
      <c r="U50" s="25"/>
      <c r="V50" s="3"/>
      <c r="W50" s="3"/>
      <c r="X50" s="3"/>
      <c r="Y50" s="3"/>
      <c r="Z50" s="3"/>
      <c r="AA50" s="3"/>
      <c r="AB50" s="3"/>
      <c r="AC50" s="3"/>
    </row>
    <row r="51" spans="1:29" ht="16.2" thickBot="1" x14ac:dyDescent="0.35">
      <c r="A51" s="28"/>
      <c r="B51" s="29"/>
      <c r="C51" s="29"/>
      <c r="D51" s="29"/>
      <c r="E51" s="30"/>
      <c r="F51" s="31"/>
      <c r="G51" s="32"/>
      <c r="H51" s="33"/>
      <c r="I51" s="33"/>
      <c r="J51" s="33"/>
      <c r="K51" s="33"/>
      <c r="L51" s="33"/>
      <c r="M51" s="33"/>
      <c r="N51" s="33"/>
      <c r="O51" s="33"/>
      <c r="P51" s="33"/>
      <c r="Q51" s="34"/>
      <c r="R51" s="35"/>
      <c r="S51" s="36"/>
      <c r="T51" s="37"/>
      <c r="U51" s="38"/>
      <c r="V51" s="3"/>
      <c r="W51" s="3"/>
      <c r="X51" s="3"/>
      <c r="Y51" s="3"/>
      <c r="Z51" s="3"/>
      <c r="AA51" s="3"/>
      <c r="AB51" s="3"/>
      <c r="AC51" s="3"/>
    </row>
    <row r="52" spans="1:29" ht="15.6" x14ac:dyDescent="0.3">
      <c r="A52" s="4">
        <v>43629</v>
      </c>
      <c r="B52" s="5"/>
      <c r="C52" s="5"/>
      <c r="D52" s="5">
        <f t="shared" ref="D52" si="22">SUM(C52-B52)</f>
        <v>0</v>
      </c>
      <c r="E52" s="6">
        <f t="shared" si="18"/>
        <v>0</v>
      </c>
      <c r="F52" s="7">
        <v>1500</v>
      </c>
      <c r="G52" s="8">
        <f t="shared" si="16"/>
        <v>0</v>
      </c>
      <c r="H52" s="9"/>
      <c r="I52" s="9"/>
      <c r="J52" s="9"/>
      <c r="K52" s="9"/>
      <c r="L52" s="9"/>
      <c r="M52" s="9"/>
      <c r="N52" s="9"/>
      <c r="O52" s="9"/>
      <c r="P52" s="9"/>
      <c r="Q52" s="10"/>
      <c r="R52" s="11"/>
      <c r="S52" s="12"/>
      <c r="T52" s="13"/>
      <c r="U52" s="14"/>
      <c r="V52" s="3"/>
      <c r="W52" s="3"/>
      <c r="X52" s="3"/>
      <c r="Y52" s="3"/>
      <c r="Z52" s="3"/>
      <c r="AA52" s="3"/>
      <c r="AB52" s="3"/>
      <c r="AC52" s="3"/>
    </row>
    <row r="53" spans="1:29" ht="15.6" x14ac:dyDescent="0.3">
      <c r="A53" s="15"/>
      <c r="B53" s="16"/>
      <c r="C53" s="16"/>
      <c r="D53" s="16"/>
      <c r="E53" s="17"/>
      <c r="F53" s="18"/>
      <c r="G53" s="19"/>
      <c r="H53" s="20"/>
      <c r="I53" s="20"/>
      <c r="J53" s="20"/>
      <c r="K53" s="20"/>
      <c r="L53" s="20"/>
      <c r="M53" s="20"/>
      <c r="N53" s="20"/>
      <c r="O53" s="20"/>
      <c r="P53" s="20"/>
      <c r="Q53" s="21"/>
      <c r="R53" s="22"/>
      <c r="S53" s="23"/>
      <c r="T53" s="24"/>
      <c r="U53" s="25"/>
      <c r="V53" s="3"/>
      <c r="W53" s="3"/>
      <c r="X53" s="3"/>
      <c r="Y53" s="3"/>
      <c r="Z53" s="3"/>
      <c r="AA53" s="3"/>
      <c r="AB53" s="3"/>
      <c r="AC53" s="3"/>
    </row>
    <row r="54" spans="1:29" ht="15.6" x14ac:dyDescent="0.3">
      <c r="A54" s="15"/>
      <c r="B54" s="16"/>
      <c r="C54" s="16"/>
      <c r="D54" s="16"/>
      <c r="E54" s="17"/>
      <c r="F54" s="18"/>
      <c r="G54" s="19"/>
      <c r="H54" s="20"/>
      <c r="I54" s="20"/>
      <c r="J54" s="20"/>
      <c r="K54" s="20"/>
      <c r="L54" s="20"/>
      <c r="M54" s="20"/>
      <c r="N54" s="20"/>
      <c r="O54" s="20"/>
      <c r="P54" s="20"/>
      <c r="Q54" s="26"/>
      <c r="R54" s="22"/>
      <c r="S54" s="27"/>
      <c r="T54" s="24"/>
      <c r="U54" s="25"/>
      <c r="V54" s="3"/>
      <c r="W54" s="3"/>
      <c r="X54" s="3"/>
      <c r="Y54" s="3"/>
      <c r="Z54" s="3"/>
      <c r="AA54" s="3"/>
      <c r="AB54" s="3"/>
      <c r="AC54" s="3"/>
    </row>
    <row r="55" spans="1:29" ht="16.2" thickBot="1" x14ac:dyDescent="0.35">
      <c r="A55" s="28"/>
      <c r="B55" s="29"/>
      <c r="C55" s="29"/>
      <c r="D55" s="29"/>
      <c r="E55" s="30"/>
      <c r="F55" s="31"/>
      <c r="G55" s="32"/>
      <c r="H55" s="33"/>
      <c r="I55" s="33"/>
      <c r="J55" s="33"/>
      <c r="K55" s="33"/>
      <c r="L55" s="33"/>
      <c r="M55" s="33"/>
      <c r="N55" s="33"/>
      <c r="O55" s="33"/>
      <c r="P55" s="33"/>
      <c r="Q55" s="34"/>
      <c r="R55" s="35"/>
      <c r="S55" s="36"/>
      <c r="T55" s="37"/>
      <c r="U55" s="38"/>
      <c r="V55" s="3"/>
      <c r="W55" s="3"/>
      <c r="X55" s="3"/>
      <c r="Y55" s="3"/>
      <c r="Z55" s="3"/>
      <c r="AA55" s="3"/>
      <c r="AB55" s="3"/>
      <c r="AC55" s="3"/>
    </row>
    <row r="56" spans="1:29" ht="15.6" x14ac:dyDescent="0.3">
      <c r="A56" s="4">
        <v>43630</v>
      </c>
      <c r="B56" s="5"/>
      <c r="C56" s="5"/>
      <c r="D56" s="5">
        <f t="shared" ref="D56" si="23">SUM(C56-B56)</f>
        <v>0</v>
      </c>
      <c r="E56" s="6">
        <f t="shared" si="18"/>
        <v>0</v>
      </c>
      <c r="F56" s="7">
        <v>1500</v>
      </c>
      <c r="G56" s="8">
        <f t="shared" si="16"/>
        <v>0</v>
      </c>
      <c r="H56" s="9"/>
      <c r="I56" s="9"/>
      <c r="J56" s="9"/>
      <c r="K56" s="9"/>
      <c r="L56" s="9"/>
      <c r="M56" s="9"/>
      <c r="N56" s="9"/>
      <c r="O56" s="9"/>
      <c r="P56" s="9"/>
      <c r="Q56" s="10"/>
      <c r="R56" s="11"/>
      <c r="S56" s="12"/>
      <c r="T56" s="13"/>
      <c r="U56" s="14"/>
      <c r="V56" s="3"/>
      <c r="W56" s="3"/>
      <c r="X56" s="3"/>
      <c r="Y56" s="3"/>
      <c r="Z56" s="3"/>
      <c r="AA56" s="3"/>
      <c r="AB56" s="3"/>
      <c r="AC56" s="3"/>
    </row>
    <row r="57" spans="1:29" ht="15.6" x14ac:dyDescent="0.3">
      <c r="A57" s="15"/>
      <c r="B57" s="16"/>
      <c r="C57" s="16"/>
      <c r="D57" s="16"/>
      <c r="E57" s="17"/>
      <c r="F57" s="18"/>
      <c r="G57" s="19"/>
      <c r="H57" s="20"/>
      <c r="I57" s="20"/>
      <c r="J57" s="20"/>
      <c r="K57" s="20"/>
      <c r="L57" s="20"/>
      <c r="M57" s="20"/>
      <c r="N57" s="20"/>
      <c r="O57" s="20"/>
      <c r="P57" s="20"/>
      <c r="Q57" s="21"/>
      <c r="R57" s="22"/>
      <c r="S57" s="23"/>
      <c r="T57" s="24"/>
      <c r="U57" s="25"/>
      <c r="V57" s="3"/>
      <c r="W57" s="3"/>
      <c r="X57" s="3"/>
      <c r="Y57" s="3"/>
      <c r="Z57" s="3"/>
      <c r="AA57" s="3"/>
      <c r="AB57" s="3"/>
      <c r="AC57" s="3"/>
    </row>
    <row r="58" spans="1:29" ht="15.6" x14ac:dyDescent="0.3">
      <c r="A58" s="15"/>
      <c r="B58" s="16"/>
      <c r="C58" s="16"/>
      <c r="D58" s="16"/>
      <c r="E58" s="17"/>
      <c r="F58" s="18"/>
      <c r="G58" s="19"/>
      <c r="H58" s="20"/>
      <c r="I58" s="20"/>
      <c r="J58" s="20"/>
      <c r="K58" s="20"/>
      <c r="L58" s="20"/>
      <c r="M58" s="20"/>
      <c r="N58" s="20"/>
      <c r="O58" s="20"/>
      <c r="P58" s="20"/>
      <c r="Q58" s="26"/>
      <c r="R58" s="22"/>
      <c r="S58" s="27"/>
      <c r="T58" s="24"/>
      <c r="U58" s="25"/>
      <c r="V58" s="3"/>
      <c r="W58" s="3"/>
      <c r="X58" s="3"/>
      <c r="Y58" s="3"/>
      <c r="Z58" s="3"/>
      <c r="AA58" s="3"/>
      <c r="AB58" s="3"/>
      <c r="AC58" s="3"/>
    </row>
    <row r="59" spans="1:29" ht="16.2" thickBot="1" x14ac:dyDescent="0.35">
      <c r="A59" s="28"/>
      <c r="B59" s="29"/>
      <c r="C59" s="29"/>
      <c r="D59" s="29"/>
      <c r="E59" s="30"/>
      <c r="F59" s="31"/>
      <c r="G59" s="32"/>
      <c r="H59" s="33"/>
      <c r="I59" s="33"/>
      <c r="J59" s="33"/>
      <c r="K59" s="33"/>
      <c r="L59" s="33"/>
      <c r="M59" s="33"/>
      <c r="N59" s="33"/>
      <c r="O59" s="33"/>
      <c r="P59" s="33"/>
      <c r="Q59" s="34"/>
      <c r="R59" s="35"/>
      <c r="S59" s="36"/>
      <c r="T59" s="37"/>
      <c r="U59" s="38"/>
      <c r="V59" s="3"/>
      <c r="W59" s="3"/>
      <c r="X59" s="3"/>
      <c r="Y59" s="3"/>
      <c r="Z59" s="3"/>
      <c r="AA59" s="3"/>
      <c r="AB59" s="3"/>
      <c r="AC59" s="3"/>
    </row>
    <row r="60" spans="1:29" ht="15.6" x14ac:dyDescent="0.3">
      <c r="A60" s="4">
        <v>43631</v>
      </c>
      <c r="B60" s="5"/>
      <c r="C60" s="5"/>
      <c r="D60" s="5">
        <f t="shared" ref="D60" si="24">SUM(C60-B60)</f>
        <v>0</v>
      </c>
      <c r="E60" s="6">
        <f t="shared" si="18"/>
        <v>0</v>
      </c>
      <c r="F60" s="7">
        <v>1500</v>
      </c>
      <c r="G60" s="8">
        <f t="shared" si="16"/>
        <v>0</v>
      </c>
      <c r="H60" s="9"/>
      <c r="I60" s="9"/>
      <c r="J60" s="9"/>
      <c r="K60" s="9"/>
      <c r="L60" s="9"/>
      <c r="M60" s="9"/>
      <c r="N60" s="9"/>
      <c r="O60" s="9"/>
      <c r="P60" s="9"/>
      <c r="Q60" s="10"/>
      <c r="R60" s="11"/>
      <c r="S60" s="12"/>
      <c r="T60" s="13"/>
      <c r="U60" s="14"/>
      <c r="V60" s="3"/>
      <c r="W60" s="3"/>
      <c r="X60" s="3"/>
      <c r="Y60" s="3"/>
      <c r="Z60" s="3"/>
      <c r="AA60" s="3"/>
      <c r="AB60" s="3"/>
      <c r="AC60" s="3"/>
    </row>
    <row r="61" spans="1:29" ht="15.6" x14ac:dyDescent="0.3">
      <c r="A61" s="15"/>
      <c r="B61" s="16"/>
      <c r="C61" s="16"/>
      <c r="D61" s="16"/>
      <c r="E61" s="17"/>
      <c r="F61" s="18"/>
      <c r="G61" s="19"/>
      <c r="H61" s="20"/>
      <c r="I61" s="20"/>
      <c r="J61" s="20"/>
      <c r="K61" s="20"/>
      <c r="L61" s="20"/>
      <c r="M61" s="20"/>
      <c r="N61" s="20"/>
      <c r="O61" s="20"/>
      <c r="P61" s="20"/>
      <c r="Q61" s="21"/>
      <c r="R61" s="22"/>
      <c r="S61" s="23"/>
      <c r="T61" s="24"/>
      <c r="U61" s="25"/>
      <c r="V61" s="3"/>
      <c r="W61" s="3"/>
      <c r="X61" s="3"/>
      <c r="Y61" s="3"/>
      <c r="Z61" s="3"/>
      <c r="AA61" s="3"/>
      <c r="AB61" s="3"/>
      <c r="AC61" s="3"/>
    </row>
    <row r="62" spans="1:29" ht="15.6" x14ac:dyDescent="0.3">
      <c r="A62" s="15"/>
      <c r="B62" s="16"/>
      <c r="C62" s="16"/>
      <c r="D62" s="16"/>
      <c r="E62" s="17"/>
      <c r="F62" s="18"/>
      <c r="G62" s="19"/>
      <c r="H62" s="20"/>
      <c r="I62" s="20"/>
      <c r="J62" s="20"/>
      <c r="K62" s="20"/>
      <c r="L62" s="20"/>
      <c r="M62" s="20"/>
      <c r="N62" s="20"/>
      <c r="O62" s="20"/>
      <c r="P62" s="20"/>
      <c r="Q62" s="26"/>
      <c r="R62" s="22"/>
      <c r="S62" s="27"/>
      <c r="T62" s="24"/>
      <c r="U62" s="25"/>
      <c r="V62" s="3"/>
      <c r="W62" s="3"/>
      <c r="X62" s="3"/>
      <c r="Y62" s="3"/>
      <c r="Z62" s="3"/>
      <c r="AA62" s="3"/>
      <c r="AB62" s="3"/>
      <c r="AC62" s="3"/>
    </row>
    <row r="63" spans="1:29" ht="16.2" thickBot="1" x14ac:dyDescent="0.35">
      <c r="A63" s="28"/>
      <c r="B63" s="29"/>
      <c r="C63" s="29"/>
      <c r="D63" s="29"/>
      <c r="E63" s="30"/>
      <c r="F63" s="31"/>
      <c r="G63" s="32"/>
      <c r="H63" s="33"/>
      <c r="I63" s="33"/>
      <c r="J63" s="33"/>
      <c r="K63" s="33"/>
      <c r="L63" s="33"/>
      <c r="M63" s="33"/>
      <c r="N63" s="33"/>
      <c r="O63" s="33"/>
      <c r="P63" s="33"/>
      <c r="Q63" s="34"/>
      <c r="R63" s="35"/>
      <c r="S63" s="36"/>
      <c r="T63" s="37"/>
      <c r="U63" s="38"/>
      <c r="V63" s="3"/>
      <c r="W63" s="3"/>
      <c r="X63" s="3"/>
      <c r="Y63" s="3"/>
      <c r="Z63" s="3"/>
      <c r="AA63" s="3"/>
      <c r="AB63" s="3"/>
      <c r="AC63" s="3"/>
    </row>
    <row r="64" spans="1:29" ht="15.6" x14ac:dyDescent="0.3">
      <c r="A64" s="39">
        <v>43632</v>
      </c>
      <c r="B64" s="72"/>
      <c r="C64" s="72"/>
      <c r="D64" s="72"/>
      <c r="E64" s="72"/>
      <c r="F64" s="72"/>
      <c r="G64" s="73">
        <f>SUM(G32:G63)</f>
        <v>0</v>
      </c>
      <c r="H64" s="74"/>
      <c r="I64" s="74"/>
      <c r="J64" s="74"/>
      <c r="K64" s="74"/>
      <c r="L64" s="74"/>
      <c r="M64" s="74"/>
      <c r="N64" s="74"/>
      <c r="O64" s="74"/>
      <c r="P64" s="74"/>
      <c r="Q64" s="75"/>
      <c r="R64" s="76">
        <f>SUM(R32:R63)</f>
        <v>0</v>
      </c>
      <c r="S64" s="77">
        <f>SUM(G64:R67)</f>
        <v>0</v>
      </c>
      <c r="T64" s="78">
        <f>SUM(T32:T63)</f>
        <v>0</v>
      </c>
      <c r="U64" s="79">
        <f>S64-T64</f>
        <v>0</v>
      </c>
      <c r="V64" s="3"/>
      <c r="W64" s="3"/>
      <c r="X64" s="3"/>
      <c r="Y64" s="3"/>
      <c r="Z64" s="3"/>
      <c r="AA64" s="3"/>
      <c r="AB64" s="3"/>
      <c r="AC64" s="3"/>
    </row>
    <row r="65" spans="1:29" ht="15.6" x14ac:dyDescent="0.3">
      <c r="A65" s="50"/>
      <c r="B65" s="80"/>
      <c r="C65" s="80"/>
      <c r="D65" s="80"/>
      <c r="E65" s="80"/>
      <c r="F65" s="80"/>
      <c r="G65" s="81"/>
      <c r="H65" s="82"/>
      <c r="I65" s="82"/>
      <c r="J65" s="82"/>
      <c r="K65" s="82"/>
      <c r="L65" s="82"/>
      <c r="M65" s="82"/>
      <c r="N65" s="82"/>
      <c r="O65" s="82"/>
      <c r="P65" s="82"/>
      <c r="Q65" s="83"/>
      <c r="R65" s="84"/>
      <c r="S65" s="85"/>
      <c r="T65" s="86"/>
      <c r="U65" s="87"/>
      <c r="V65" s="3"/>
      <c r="W65" s="3"/>
      <c r="X65" s="3"/>
      <c r="Y65" s="3"/>
      <c r="Z65" s="3"/>
      <c r="AA65" s="3"/>
      <c r="AB65" s="3"/>
      <c r="AC65" s="3"/>
    </row>
    <row r="66" spans="1:29" ht="15.6" x14ac:dyDescent="0.3">
      <c r="A66" s="50"/>
      <c r="B66" s="80"/>
      <c r="C66" s="80"/>
      <c r="D66" s="80"/>
      <c r="E66" s="80"/>
      <c r="F66" s="80"/>
      <c r="G66" s="81"/>
      <c r="H66" s="82"/>
      <c r="I66" s="82"/>
      <c r="J66" s="82"/>
      <c r="K66" s="82"/>
      <c r="L66" s="82"/>
      <c r="M66" s="82"/>
      <c r="N66" s="82"/>
      <c r="O66" s="82"/>
      <c r="P66" s="82"/>
      <c r="Q66" s="83"/>
      <c r="R66" s="84"/>
      <c r="S66" s="85"/>
      <c r="T66" s="86"/>
      <c r="U66" s="87"/>
      <c r="V66" s="3"/>
      <c r="W66" s="3"/>
      <c r="X66" s="3"/>
      <c r="Y66" s="3"/>
      <c r="Z66" s="3"/>
      <c r="AA66" s="3"/>
      <c r="AB66" s="3"/>
      <c r="AC66" s="3"/>
    </row>
    <row r="67" spans="1:29" ht="16.2" thickBot="1" x14ac:dyDescent="0.35">
      <c r="A67" s="61"/>
      <c r="B67" s="88"/>
      <c r="C67" s="88"/>
      <c r="D67" s="88"/>
      <c r="E67" s="88"/>
      <c r="F67" s="88"/>
      <c r="G67" s="89"/>
      <c r="H67" s="90"/>
      <c r="I67" s="90"/>
      <c r="J67" s="90"/>
      <c r="K67" s="90"/>
      <c r="L67" s="90"/>
      <c r="M67" s="90"/>
      <c r="N67" s="90"/>
      <c r="O67" s="90"/>
      <c r="P67" s="90"/>
      <c r="Q67" s="91"/>
      <c r="R67" s="92"/>
      <c r="S67" s="93"/>
      <c r="T67" s="94"/>
      <c r="U67" s="95"/>
      <c r="V67" s="3"/>
      <c r="W67" s="3"/>
      <c r="X67" s="3"/>
      <c r="Y67" s="3"/>
      <c r="Z67" s="3"/>
      <c r="AA67" s="3"/>
      <c r="AB67" s="3"/>
      <c r="AC67" s="3"/>
    </row>
    <row r="68" spans="1:29" ht="15.6" x14ac:dyDescent="0.3">
      <c r="A68" s="4">
        <v>43633</v>
      </c>
      <c r="B68" s="5"/>
      <c r="C68" s="5"/>
      <c r="D68" s="5">
        <f t="shared" ref="D68" si="25">SUM(C68-B68)</f>
        <v>0</v>
      </c>
      <c r="E68" s="6">
        <f t="shared" si="18"/>
        <v>0</v>
      </c>
      <c r="F68" s="7">
        <v>1500</v>
      </c>
      <c r="G68" s="8">
        <f t="shared" si="16"/>
        <v>0</v>
      </c>
      <c r="H68" s="9"/>
      <c r="I68" s="9"/>
      <c r="J68" s="9"/>
      <c r="K68" s="9"/>
      <c r="L68" s="9"/>
      <c r="M68" s="9"/>
      <c r="N68" s="9"/>
      <c r="O68" s="9"/>
      <c r="P68" s="9"/>
      <c r="Q68" s="10"/>
      <c r="R68" s="11"/>
      <c r="S68" s="12"/>
      <c r="T68" s="13"/>
      <c r="U68" s="14"/>
      <c r="V68" s="3"/>
      <c r="W68" s="3"/>
      <c r="X68" s="3"/>
      <c r="Y68" s="3"/>
      <c r="Z68" s="3"/>
      <c r="AA68" s="3"/>
      <c r="AB68" s="3"/>
      <c r="AC68" s="3"/>
    </row>
    <row r="69" spans="1:29" ht="15.6" x14ac:dyDescent="0.3">
      <c r="A69" s="15"/>
      <c r="B69" s="16"/>
      <c r="C69" s="16"/>
      <c r="D69" s="16"/>
      <c r="E69" s="17"/>
      <c r="F69" s="18"/>
      <c r="G69" s="19"/>
      <c r="H69" s="20"/>
      <c r="I69" s="20"/>
      <c r="J69" s="20"/>
      <c r="K69" s="20"/>
      <c r="L69" s="20"/>
      <c r="M69" s="20"/>
      <c r="N69" s="20"/>
      <c r="O69" s="20"/>
      <c r="P69" s="20"/>
      <c r="Q69" s="21"/>
      <c r="R69" s="22"/>
      <c r="S69" s="23"/>
      <c r="T69" s="24"/>
      <c r="U69" s="25"/>
      <c r="V69" s="3"/>
      <c r="W69" s="3"/>
      <c r="X69" s="3"/>
      <c r="Y69" s="3"/>
      <c r="Z69" s="3"/>
      <c r="AA69" s="3"/>
      <c r="AB69" s="3"/>
      <c r="AC69" s="3"/>
    </row>
    <row r="70" spans="1:29" ht="15.6" x14ac:dyDescent="0.3">
      <c r="A70" s="15"/>
      <c r="B70" s="16"/>
      <c r="C70" s="16"/>
      <c r="D70" s="16"/>
      <c r="E70" s="17"/>
      <c r="F70" s="18"/>
      <c r="G70" s="19"/>
      <c r="H70" s="20"/>
      <c r="I70" s="20"/>
      <c r="J70" s="20"/>
      <c r="K70" s="20"/>
      <c r="L70" s="20"/>
      <c r="M70" s="20"/>
      <c r="N70" s="20"/>
      <c r="O70" s="20"/>
      <c r="P70" s="20"/>
      <c r="Q70" s="26"/>
      <c r="R70" s="22"/>
      <c r="S70" s="27"/>
      <c r="T70" s="24"/>
      <c r="U70" s="25"/>
      <c r="V70" s="3"/>
      <c r="W70" s="3"/>
      <c r="X70" s="3"/>
      <c r="Y70" s="3"/>
      <c r="Z70" s="3"/>
      <c r="AA70" s="3"/>
      <c r="AB70" s="3"/>
      <c r="AC70" s="3"/>
    </row>
    <row r="71" spans="1:29" ht="16.2" thickBot="1" x14ac:dyDescent="0.35">
      <c r="A71" s="28"/>
      <c r="B71" s="29"/>
      <c r="C71" s="29"/>
      <c r="D71" s="29"/>
      <c r="E71" s="30"/>
      <c r="F71" s="31"/>
      <c r="G71" s="32"/>
      <c r="H71" s="33"/>
      <c r="I71" s="33"/>
      <c r="J71" s="33"/>
      <c r="K71" s="33"/>
      <c r="L71" s="33"/>
      <c r="M71" s="33"/>
      <c r="N71" s="33"/>
      <c r="O71" s="33"/>
      <c r="P71" s="33"/>
      <c r="Q71" s="34"/>
      <c r="R71" s="35"/>
      <c r="S71" s="36"/>
      <c r="T71" s="37"/>
      <c r="U71" s="38"/>
      <c r="V71" s="3"/>
      <c r="W71" s="3"/>
      <c r="X71" s="3"/>
      <c r="Y71" s="3"/>
      <c r="Z71" s="3"/>
      <c r="AA71" s="3"/>
      <c r="AB71" s="3"/>
      <c r="AC71" s="3"/>
    </row>
    <row r="72" spans="1:29" ht="15.6" x14ac:dyDescent="0.3">
      <c r="A72" s="4">
        <v>43634</v>
      </c>
      <c r="B72" s="5"/>
      <c r="C72" s="5"/>
      <c r="D72" s="5">
        <f t="shared" ref="D72" si="26">SUM(C72-B72)</f>
        <v>0</v>
      </c>
      <c r="E72" s="6">
        <f t="shared" si="18"/>
        <v>0</v>
      </c>
      <c r="F72" s="7">
        <v>1500</v>
      </c>
      <c r="G72" s="8">
        <f t="shared" si="16"/>
        <v>0</v>
      </c>
      <c r="H72" s="9"/>
      <c r="I72" s="9"/>
      <c r="J72" s="9"/>
      <c r="K72" s="9"/>
      <c r="L72" s="9"/>
      <c r="M72" s="9"/>
      <c r="N72" s="9"/>
      <c r="O72" s="9"/>
      <c r="P72" s="9"/>
      <c r="Q72" s="10"/>
      <c r="R72" s="11"/>
      <c r="S72" s="12"/>
      <c r="T72" s="13"/>
      <c r="U72" s="14"/>
      <c r="V72" s="3"/>
      <c r="W72" s="3"/>
      <c r="X72" s="3"/>
      <c r="Y72" s="3"/>
      <c r="Z72" s="3"/>
      <c r="AA72" s="3"/>
      <c r="AB72" s="3"/>
      <c r="AC72" s="3"/>
    </row>
    <row r="73" spans="1:29" ht="15.6" x14ac:dyDescent="0.3">
      <c r="A73" s="15"/>
      <c r="B73" s="16"/>
      <c r="C73" s="16"/>
      <c r="D73" s="16"/>
      <c r="E73" s="17"/>
      <c r="F73" s="18"/>
      <c r="G73" s="19"/>
      <c r="H73" s="20"/>
      <c r="I73" s="20"/>
      <c r="J73" s="20"/>
      <c r="K73" s="20"/>
      <c r="L73" s="20"/>
      <c r="M73" s="20"/>
      <c r="N73" s="20"/>
      <c r="O73" s="20"/>
      <c r="P73" s="20"/>
      <c r="Q73" s="21"/>
      <c r="R73" s="22"/>
      <c r="S73" s="23"/>
      <c r="T73" s="24"/>
      <c r="U73" s="25"/>
      <c r="V73" s="3"/>
      <c r="W73" s="3"/>
      <c r="X73" s="3"/>
      <c r="Y73" s="3"/>
      <c r="Z73" s="3"/>
      <c r="AA73" s="3"/>
      <c r="AB73" s="3"/>
      <c r="AC73" s="3"/>
    </row>
    <row r="74" spans="1:29" ht="15.6" x14ac:dyDescent="0.3">
      <c r="A74" s="15"/>
      <c r="B74" s="16"/>
      <c r="C74" s="16"/>
      <c r="D74" s="16"/>
      <c r="E74" s="17"/>
      <c r="F74" s="18"/>
      <c r="G74" s="19"/>
      <c r="H74" s="20"/>
      <c r="I74" s="20"/>
      <c r="J74" s="20"/>
      <c r="K74" s="20"/>
      <c r="L74" s="20"/>
      <c r="M74" s="20"/>
      <c r="N74" s="20"/>
      <c r="O74" s="20"/>
      <c r="P74" s="20"/>
      <c r="Q74" s="26"/>
      <c r="R74" s="22"/>
      <c r="S74" s="27"/>
      <c r="T74" s="24"/>
      <c r="U74" s="25"/>
      <c r="V74" s="3"/>
      <c r="W74" s="3"/>
      <c r="X74" s="3"/>
      <c r="Y74" s="3"/>
      <c r="Z74" s="3"/>
      <c r="AA74" s="3"/>
      <c r="AB74" s="3"/>
      <c r="AC74" s="3"/>
    </row>
    <row r="75" spans="1:29" ht="16.2" thickBot="1" x14ac:dyDescent="0.35">
      <c r="A75" s="28"/>
      <c r="B75" s="29"/>
      <c r="C75" s="29"/>
      <c r="D75" s="29"/>
      <c r="E75" s="30"/>
      <c r="F75" s="31"/>
      <c r="G75" s="32"/>
      <c r="H75" s="33"/>
      <c r="I75" s="33"/>
      <c r="J75" s="33"/>
      <c r="K75" s="33"/>
      <c r="L75" s="33"/>
      <c r="M75" s="33"/>
      <c r="N75" s="33"/>
      <c r="O75" s="33"/>
      <c r="P75" s="33"/>
      <c r="Q75" s="34"/>
      <c r="R75" s="35"/>
      <c r="S75" s="36"/>
      <c r="T75" s="37"/>
      <c r="U75" s="38"/>
      <c r="V75" s="3"/>
      <c r="W75" s="3"/>
      <c r="X75" s="3"/>
      <c r="Y75" s="3"/>
      <c r="Z75" s="3"/>
      <c r="AA75" s="3"/>
      <c r="AB75" s="3"/>
      <c r="AC75" s="3"/>
    </row>
    <row r="76" spans="1:29" ht="15.6" x14ac:dyDescent="0.3">
      <c r="A76" s="4">
        <v>43635</v>
      </c>
      <c r="B76" s="5"/>
      <c r="C76" s="5"/>
      <c r="D76" s="5">
        <f t="shared" ref="D76" si="27">SUM(C76-B76)</f>
        <v>0</v>
      </c>
      <c r="E76" s="6">
        <f t="shared" si="18"/>
        <v>0</v>
      </c>
      <c r="F76" s="7">
        <v>1500</v>
      </c>
      <c r="G76" s="8">
        <f t="shared" si="16"/>
        <v>0</v>
      </c>
      <c r="H76" s="9"/>
      <c r="I76" s="9"/>
      <c r="J76" s="9"/>
      <c r="K76" s="9"/>
      <c r="L76" s="9"/>
      <c r="M76" s="9"/>
      <c r="N76" s="9"/>
      <c r="O76" s="9"/>
      <c r="P76" s="9"/>
      <c r="Q76" s="10"/>
      <c r="R76" s="11"/>
      <c r="S76" s="12"/>
      <c r="T76" s="13"/>
      <c r="U76" s="14"/>
      <c r="V76" s="3"/>
      <c r="W76" s="3"/>
      <c r="X76" s="3"/>
      <c r="Y76" s="3"/>
      <c r="Z76" s="3"/>
      <c r="AA76" s="3"/>
      <c r="AB76" s="3"/>
      <c r="AC76" s="3"/>
    </row>
    <row r="77" spans="1:29" ht="15.6" x14ac:dyDescent="0.3">
      <c r="A77" s="15"/>
      <c r="B77" s="16"/>
      <c r="C77" s="16"/>
      <c r="D77" s="16"/>
      <c r="E77" s="17"/>
      <c r="F77" s="18"/>
      <c r="G77" s="19"/>
      <c r="H77" s="20"/>
      <c r="I77" s="20"/>
      <c r="J77" s="20"/>
      <c r="K77" s="20"/>
      <c r="L77" s="20"/>
      <c r="M77" s="20"/>
      <c r="N77" s="20"/>
      <c r="O77" s="20"/>
      <c r="P77" s="20"/>
      <c r="Q77" s="21"/>
      <c r="R77" s="22"/>
      <c r="S77" s="23"/>
      <c r="T77" s="24"/>
      <c r="U77" s="25"/>
      <c r="V77" s="3"/>
      <c r="W77" s="3"/>
      <c r="X77" s="3"/>
      <c r="Y77" s="3"/>
      <c r="Z77" s="3"/>
      <c r="AA77" s="3"/>
      <c r="AB77" s="3"/>
      <c r="AC77" s="3"/>
    </row>
    <row r="78" spans="1:29" ht="15.6" x14ac:dyDescent="0.3">
      <c r="A78" s="15"/>
      <c r="B78" s="16"/>
      <c r="C78" s="16"/>
      <c r="D78" s="16"/>
      <c r="E78" s="17"/>
      <c r="F78" s="18"/>
      <c r="G78" s="19"/>
      <c r="H78" s="20"/>
      <c r="I78" s="20"/>
      <c r="J78" s="20"/>
      <c r="K78" s="20"/>
      <c r="L78" s="20"/>
      <c r="M78" s="20"/>
      <c r="N78" s="20"/>
      <c r="O78" s="20"/>
      <c r="P78" s="20"/>
      <c r="Q78" s="26"/>
      <c r="R78" s="22"/>
      <c r="S78" s="27"/>
      <c r="T78" s="24"/>
      <c r="U78" s="25"/>
      <c r="V78" s="3"/>
      <c r="W78" s="3"/>
      <c r="X78" s="3"/>
      <c r="Y78" s="3"/>
      <c r="Z78" s="3"/>
      <c r="AA78" s="3"/>
      <c r="AB78" s="3"/>
      <c r="AC78" s="3"/>
    </row>
    <row r="79" spans="1:29" ht="16.2" thickBot="1" x14ac:dyDescent="0.35">
      <c r="A79" s="28"/>
      <c r="B79" s="29"/>
      <c r="C79" s="29"/>
      <c r="D79" s="29"/>
      <c r="E79" s="30"/>
      <c r="F79" s="31"/>
      <c r="G79" s="32"/>
      <c r="H79" s="33"/>
      <c r="I79" s="33"/>
      <c r="J79" s="33"/>
      <c r="K79" s="33"/>
      <c r="L79" s="33"/>
      <c r="M79" s="33"/>
      <c r="N79" s="33"/>
      <c r="O79" s="33"/>
      <c r="P79" s="33"/>
      <c r="Q79" s="34"/>
      <c r="R79" s="35"/>
      <c r="S79" s="36"/>
      <c r="T79" s="37"/>
      <c r="U79" s="38"/>
      <c r="V79" s="3"/>
      <c r="W79" s="3"/>
      <c r="X79" s="3"/>
      <c r="Y79" s="3"/>
      <c r="Z79" s="3"/>
      <c r="AA79" s="3"/>
      <c r="AB79" s="3"/>
      <c r="AC79" s="3"/>
    </row>
    <row r="80" spans="1:29" ht="15.6" x14ac:dyDescent="0.3">
      <c r="A80" s="4">
        <v>43636</v>
      </c>
      <c r="B80" s="5"/>
      <c r="C80" s="5"/>
      <c r="D80" s="5">
        <f t="shared" ref="D80" si="28">SUM(C80-B80)</f>
        <v>0</v>
      </c>
      <c r="E80" s="6">
        <f t="shared" si="18"/>
        <v>0</v>
      </c>
      <c r="F80" s="7">
        <v>1500</v>
      </c>
      <c r="G80" s="8">
        <f t="shared" si="16"/>
        <v>0</v>
      </c>
      <c r="H80" s="9"/>
      <c r="I80" s="9"/>
      <c r="J80" s="9"/>
      <c r="K80" s="9"/>
      <c r="L80" s="9"/>
      <c r="M80" s="9"/>
      <c r="N80" s="9"/>
      <c r="O80" s="9"/>
      <c r="P80" s="9"/>
      <c r="Q80" s="10"/>
      <c r="R80" s="11"/>
      <c r="S80" s="12"/>
      <c r="T80" s="13"/>
      <c r="U80" s="14"/>
      <c r="V80" s="3"/>
      <c r="W80" s="3"/>
      <c r="X80" s="3"/>
      <c r="Y80" s="3"/>
      <c r="Z80" s="3"/>
      <c r="AA80" s="3"/>
      <c r="AB80" s="3"/>
      <c r="AC80" s="3"/>
    </row>
    <row r="81" spans="1:29" ht="15.6" x14ac:dyDescent="0.3">
      <c r="A81" s="15"/>
      <c r="B81" s="16"/>
      <c r="C81" s="16"/>
      <c r="D81" s="16"/>
      <c r="E81" s="17"/>
      <c r="F81" s="18"/>
      <c r="G81" s="19"/>
      <c r="H81" s="20"/>
      <c r="I81" s="20"/>
      <c r="J81" s="20"/>
      <c r="K81" s="20"/>
      <c r="L81" s="20"/>
      <c r="M81" s="20"/>
      <c r="N81" s="20"/>
      <c r="O81" s="20"/>
      <c r="P81" s="20"/>
      <c r="Q81" s="21"/>
      <c r="R81" s="22"/>
      <c r="S81" s="23"/>
      <c r="T81" s="24"/>
      <c r="U81" s="25"/>
      <c r="V81" s="3"/>
      <c r="W81" s="3"/>
      <c r="X81" s="3"/>
      <c r="Y81" s="3"/>
      <c r="Z81" s="3"/>
      <c r="AA81" s="3"/>
      <c r="AB81" s="3"/>
      <c r="AC81" s="3"/>
    </row>
    <row r="82" spans="1:29" ht="15.6" x14ac:dyDescent="0.3">
      <c r="A82" s="15"/>
      <c r="B82" s="16"/>
      <c r="C82" s="16"/>
      <c r="D82" s="16"/>
      <c r="E82" s="17"/>
      <c r="F82" s="18"/>
      <c r="G82" s="19"/>
      <c r="H82" s="20"/>
      <c r="I82" s="20"/>
      <c r="J82" s="20"/>
      <c r="K82" s="20"/>
      <c r="L82" s="20"/>
      <c r="M82" s="20"/>
      <c r="N82" s="20"/>
      <c r="O82" s="20"/>
      <c r="P82" s="20"/>
      <c r="Q82" s="26"/>
      <c r="R82" s="22"/>
      <c r="S82" s="27"/>
      <c r="T82" s="24"/>
      <c r="U82" s="25"/>
      <c r="V82" s="3"/>
      <c r="W82" s="3"/>
      <c r="X82" s="3"/>
      <c r="Y82" s="3"/>
      <c r="Z82" s="3"/>
      <c r="AA82" s="3"/>
      <c r="AB82" s="3"/>
      <c r="AC82" s="3"/>
    </row>
    <row r="83" spans="1:29" ht="16.2" thickBot="1" x14ac:dyDescent="0.35">
      <c r="A83" s="28"/>
      <c r="B83" s="29"/>
      <c r="C83" s="29"/>
      <c r="D83" s="29"/>
      <c r="E83" s="30"/>
      <c r="F83" s="31"/>
      <c r="G83" s="32"/>
      <c r="H83" s="33"/>
      <c r="I83" s="33"/>
      <c r="J83" s="33"/>
      <c r="K83" s="33"/>
      <c r="L83" s="33"/>
      <c r="M83" s="33"/>
      <c r="N83" s="33"/>
      <c r="O83" s="33"/>
      <c r="P83" s="33"/>
      <c r="Q83" s="34"/>
      <c r="R83" s="35"/>
      <c r="S83" s="36"/>
      <c r="T83" s="37"/>
      <c r="U83" s="38"/>
      <c r="V83" s="3"/>
      <c r="W83" s="3"/>
      <c r="X83" s="3"/>
      <c r="Y83" s="3"/>
      <c r="Z83" s="3"/>
      <c r="AA83" s="3"/>
      <c r="AB83" s="3"/>
      <c r="AC83" s="3"/>
    </row>
    <row r="84" spans="1:29" ht="15.6" x14ac:dyDescent="0.3">
      <c r="A84" s="4">
        <v>43637</v>
      </c>
      <c r="B84" s="5"/>
      <c r="C84" s="5"/>
      <c r="D84" s="5">
        <f t="shared" ref="D84" si="29">SUM(C84-B84)</f>
        <v>0</v>
      </c>
      <c r="E84" s="6">
        <f t="shared" si="18"/>
        <v>0</v>
      </c>
      <c r="F84" s="7">
        <v>1500</v>
      </c>
      <c r="G84" s="8">
        <f t="shared" si="16"/>
        <v>0</v>
      </c>
      <c r="H84" s="9"/>
      <c r="I84" s="9"/>
      <c r="J84" s="9"/>
      <c r="K84" s="9"/>
      <c r="L84" s="9"/>
      <c r="M84" s="9"/>
      <c r="N84" s="9"/>
      <c r="O84" s="9"/>
      <c r="P84" s="9"/>
      <c r="Q84" s="10"/>
      <c r="R84" s="11"/>
      <c r="S84" s="12"/>
      <c r="T84" s="13"/>
      <c r="U84" s="14"/>
      <c r="V84" s="3"/>
      <c r="W84" s="3"/>
      <c r="X84" s="3"/>
      <c r="Y84" s="3"/>
      <c r="Z84" s="3"/>
      <c r="AA84" s="3"/>
      <c r="AB84" s="3"/>
      <c r="AC84" s="3"/>
    </row>
    <row r="85" spans="1:29" ht="15.6" x14ac:dyDescent="0.3">
      <c r="A85" s="15"/>
      <c r="B85" s="16"/>
      <c r="C85" s="16"/>
      <c r="D85" s="16"/>
      <c r="E85" s="17"/>
      <c r="F85" s="18"/>
      <c r="G85" s="19"/>
      <c r="H85" s="20"/>
      <c r="I85" s="20"/>
      <c r="J85" s="20"/>
      <c r="K85" s="20"/>
      <c r="L85" s="20"/>
      <c r="M85" s="20"/>
      <c r="N85" s="20"/>
      <c r="O85" s="20"/>
      <c r="P85" s="20"/>
      <c r="Q85" s="21"/>
      <c r="R85" s="22"/>
      <c r="S85" s="23"/>
      <c r="T85" s="24"/>
      <c r="U85" s="25"/>
      <c r="V85" s="3"/>
      <c r="W85" s="3"/>
      <c r="X85" s="3"/>
      <c r="Y85" s="3"/>
      <c r="Z85" s="3"/>
      <c r="AA85" s="3"/>
      <c r="AB85" s="3"/>
      <c r="AC85" s="3"/>
    </row>
    <row r="86" spans="1:29" ht="15.6" x14ac:dyDescent="0.3">
      <c r="A86" s="15"/>
      <c r="B86" s="16"/>
      <c r="C86" s="16"/>
      <c r="D86" s="16"/>
      <c r="E86" s="17"/>
      <c r="F86" s="18"/>
      <c r="G86" s="19"/>
      <c r="H86" s="20"/>
      <c r="I86" s="20"/>
      <c r="J86" s="20"/>
      <c r="K86" s="20"/>
      <c r="L86" s="20"/>
      <c r="M86" s="20"/>
      <c r="N86" s="20"/>
      <c r="O86" s="20"/>
      <c r="P86" s="20"/>
      <c r="Q86" s="26"/>
      <c r="R86" s="22"/>
      <c r="S86" s="27"/>
      <c r="T86" s="24"/>
      <c r="U86" s="25"/>
      <c r="V86" s="3"/>
      <c r="W86" s="3"/>
      <c r="X86" s="3"/>
      <c r="Y86" s="3"/>
      <c r="Z86" s="3"/>
      <c r="AA86" s="3"/>
      <c r="AB86" s="3"/>
      <c r="AC86" s="3"/>
    </row>
    <row r="87" spans="1:29" ht="16.2" thickBot="1" x14ac:dyDescent="0.35">
      <c r="A87" s="28"/>
      <c r="B87" s="29"/>
      <c r="C87" s="29"/>
      <c r="D87" s="29"/>
      <c r="E87" s="30"/>
      <c r="F87" s="31"/>
      <c r="G87" s="32"/>
      <c r="H87" s="33"/>
      <c r="I87" s="33"/>
      <c r="J87" s="33"/>
      <c r="K87" s="33"/>
      <c r="L87" s="33"/>
      <c r="M87" s="33"/>
      <c r="N87" s="33"/>
      <c r="O87" s="33"/>
      <c r="P87" s="33"/>
      <c r="Q87" s="34"/>
      <c r="R87" s="35"/>
      <c r="S87" s="36"/>
      <c r="T87" s="37"/>
      <c r="U87" s="38"/>
      <c r="V87" s="3"/>
      <c r="W87" s="3"/>
      <c r="X87" s="3"/>
      <c r="Y87" s="3"/>
      <c r="Z87" s="3"/>
      <c r="AA87" s="3"/>
      <c r="AB87" s="3"/>
      <c r="AC87" s="3"/>
    </row>
    <row r="88" spans="1:29" ht="15.6" x14ac:dyDescent="0.3">
      <c r="A88" s="4">
        <v>43638</v>
      </c>
      <c r="B88" s="5"/>
      <c r="C88" s="5"/>
      <c r="D88" s="5">
        <f t="shared" ref="D88" si="30">SUM(C88-B88)</f>
        <v>0</v>
      </c>
      <c r="E88" s="6">
        <f t="shared" si="18"/>
        <v>0</v>
      </c>
      <c r="F88" s="7">
        <v>1500</v>
      </c>
      <c r="G88" s="8">
        <f t="shared" si="16"/>
        <v>0</v>
      </c>
      <c r="H88" s="9"/>
      <c r="I88" s="9"/>
      <c r="J88" s="9"/>
      <c r="K88" s="9"/>
      <c r="L88" s="9"/>
      <c r="M88" s="9"/>
      <c r="N88" s="9"/>
      <c r="O88" s="9"/>
      <c r="P88" s="9"/>
      <c r="Q88" s="10"/>
      <c r="R88" s="11"/>
      <c r="S88" s="12"/>
      <c r="T88" s="13"/>
      <c r="U88" s="14"/>
      <c r="V88" s="3"/>
      <c r="W88" s="3"/>
      <c r="X88" s="3"/>
      <c r="Y88" s="3"/>
      <c r="Z88" s="3"/>
      <c r="AA88" s="3"/>
      <c r="AB88" s="3"/>
      <c r="AC88" s="3"/>
    </row>
    <row r="89" spans="1:29" ht="15.6" x14ac:dyDescent="0.3">
      <c r="A89" s="15"/>
      <c r="B89" s="16"/>
      <c r="C89" s="16"/>
      <c r="D89" s="16"/>
      <c r="E89" s="17"/>
      <c r="F89" s="18"/>
      <c r="G89" s="19"/>
      <c r="H89" s="20"/>
      <c r="I89" s="20"/>
      <c r="J89" s="20"/>
      <c r="K89" s="20"/>
      <c r="L89" s="20"/>
      <c r="M89" s="20"/>
      <c r="N89" s="20"/>
      <c r="O89" s="20"/>
      <c r="P89" s="20"/>
      <c r="Q89" s="21"/>
      <c r="R89" s="22"/>
      <c r="S89" s="23"/>
      <c r="T89" s="24"/>
      <c r="U89" s="25"/>
      <c r="V89" s="3"/>
      <c r="W89" s="3"/>
      <c r="X89" s="3"/>
      <c r="Y89" s="3"/>
      <c r="Z89" s="3"/>
      <c r="AA89" s="3"/>
      <c r="AB89" s="3"/>
      <c r="AC89" s="3"/>
    </row>
    <row r="90" spans="1:29" ht="15.6" x14ac:dyDescent="0.3">
      <c r="A90" s="15"/>
      <c r="B90" s="16"/>
      <c r="C90" s="16"/>
      <c r="D90" s="16"/>
      <c r="E90" s="17"/>
      <c r="F90" s="18"/>
      <c r="G90" s="19"/>
      <c r="H90" s="20"/>
      <c r="I90" s="20"/>
      <c r="J90" s="20"/>
      <c r="K90" s="20"/>
      <c r="L90" s="20"/>
      <c r="M90" s="20"/>
      <c r="N90" s="20"/>
      <c r="O90" s="20"/>
      <c r="P90" s="20"/>
      <c r="Q90" s="26"/>
      <c r="R90" s="22"/>
      <c r="S90" s="27"/>
      <c r="T90" s="24"/>
      <c r="U90" s="25"/>
      <c r="V90" s="3"/>
      <c r="W90" s="3"/>
      <c r="X90" s="3"/>
      <c r="Y90" s="3"/>
      <c r="Z90" s="3"/>
      <c r="AA90" s="3"/>
      <c r="AB90" s="3"/>
      <c r="AC90" s="3"/>
    </row>
    <row r="91" spans="1:29" ht="16.2" thickBot="1" x14ac:dyDescent="0.35">
      <c r="A91" s="28"/>
      <c r="B91" s="29"/>
      <c r="C91" s="29"/>
      <c r="D91" s="29"/>
      <c r="E91" s="30"/>
      <c r="F91" s="31"/>
      <c r="G91" s="32"/>
      <c r="H91" s="33"/>
      <c r="I91" s="33"/>
      <c r="J91" s="33"/>
      <c r="K91" s="33"/>
      <c r="L91" s="33"/>
      <c r="M91" s="33"/>
      <c r="N91" s="33"/>
      <c r="O91" s="33"/>
      <c r="P91" s="33"/>
      <c r="Q91" s="34"/>
      <c r="R91" s="35"/>
      <c r="S91" s="36"/>
      <c r="T91" s="37"/>
      <c r="U91" s="38"/>
      <c r="V91" s="3"/>
      <c r="W91" s="3"/>
      <c r="X91" s="3"/>
      <c r="Y91" s="3"/>
      <c r="Z91" s="3"/>
      <c r="AA91" s="3"/>
      <c r="AB91" s="3"/>
      <c r="AC91" s="3"/>
    </row>
    <row r="92" spans="1:29" ht="15.6" x14ac:dyDescent="0.3">
      <c r="A92" s="39">
        <v>43639</v>
      </c>
      <c r="B92" s="72"/>
      <c r="C92" s="72"/>
      <c r="D92" s="72"/>
      <c r="E92" s="72"/>
      <c r="F92" s="72"/>
      <c r="G92" s="43">
        <f>SUM(G68:G91)</f>
        <v>0</v>
      </c>
      <c r="H92" s="96"/>
      <c r="I92" s="96"/>
      <c r="J92" s="96"/>
      <c r="K92" s="96"/>
      <c r="L92" s="96"/>
      <c r="M92" s="96"/>
      <c r="N92" s="96"/>
      <c r="O92" s="96"/>
      <c r="P92" s="96"/>
      <c r="Q92" s="75"/>
      <c r="R92" s="76">
        <f>SUM(R68:R91)</f>
        <v>0</v>
      </c>
      <c r="S92" s="97">
        <f>SUM(G92:R95)</f>
        <v>0</v>
      </c>
      <c r="T92" s="98">
        <f>SUM(T68:T91)</f>
        <v>0</v>
      </c>
      <c r="U92" s="99">
        <f>S92-T92</f>
        <v>0</v>
      </c>
      <c r="V92" s="3"/>
      <c r="W92" s="3"/>
      <c r="X92" s="3"/>
      <c r="Y92" s="3"/>
      <c r="Z92" s="3"/>
      <c r="AA92" s="3"/>
      <c r="AB92" s="3"/>
      <c r="AC92" s="3"/>
    </row>
    <row r="93" spans="1:29" ht="15.6" x14ac:dyDescent="0.3">
      <c r="A93" s="50"/>
      <c r="B93" s="80"/>
      <c r="C93" s="80"/>
      <c r="D93" s="80"/>
      <c r="E93" s="80"/>
      <c r="F93" s="80"/>
      <c r="G93" s="54"/>
      <c r="H93" s="100"/>
      <c r="I93" s="100"/>
      <c r="J93" s="100"/>
      <c r="K93" s="100"/>
      <c r="L93" s="100"/>
      <c r="M93" s="100"/>
      <c r="N93" s="100"/>
      <c r="O93" s="100"/>
      <c r="P93" s="100"/>
      <c r="Q93" s="83"/>
      <c r="R93" s="84"/>
      <c r="S93" s="101"/>
      <c r="T93" s="102"/>
      <c r="U93" s="103"/>
      <c r="V93" s="3"/>
      <c r="W93" s="3"/>
      <c r="X93" s="3"/>
      <c r="Y93" s="3"/>
      <c r="Z93" s="3"/>
      <c r="AA93" s="3"/>
      <c r="AB93" s="3"/>
      <c r="AC93" s="3"/>
    </row>
    <row r="94" spans="1:29" ht="15.6" x14ac:dyDescent="0.3">
      <c r="A94" s="50"/>
      <c r="B94" s="80"/>
      <c r="C94" s="80"/>
      <c r="D94" s="80"/>
      <c r="E94" s="80"/>
      <c r="F94" s="80"/>
      <c r="G94" s="54"/>
      <c r="H94" s="100"/>
      <c r="I94" s="100"/>
      <c r="J94" s="100"/>
      <c r="K94" s="100"/>
      <c r="L94" s="100"/>
      <c r="M94" s="100"/>
      <c r="N94" s="100"/>
      <c r="O94" s="100"/>
      <c r="P94" s="100"/>
      <c r="Q94" s="83"/>
      <c r="R94" s="84"/>
      <c r="S94" s="101"/>
      <c r="T94" s="102"/>
      <c r="U94" s="103"/>
      <c r="V94" s="3"/>
      <c r="W94" s="3"/>
      <c r="X94" s="3"/>
      <c r="Y94" s="3"/>
      <c r="Z94" s="3"/>
      <c r="AA94" s="3"/>
      <c r="AB94" s="3"/>
      <c r="AC94" s="3"/>
    </row>
    <row r="95" spans="1:29" ht="16.2" thickBot="1" x14ac:dyDescent="0.35">
      <c r="A95" s="61"/>
      <c r="B95" s="88"/>
      <c r="C95" s="88"/>
      <c r="D95" s="88"/>
      <c r="E95" s="88"/>
      <c r="F95" s="88"/>
      <c r="G95" s="65"/>
      <c r="H95" s="104"/>
      <c r="I95" s="104"/>
      <c r="J95" s="104"/>
      <c r="K95" s="104"/>
      <c r="L95" s="104"/>
      <c r="M95" s="104"/>
      <c r="N95" s="104"/>
      <c r="O95" s="104"/>
      <c r="P95" s="104"/>
      <c r="Q95" s="91"/>
      <c r="R95" s="92"/>
      <c r="S95" s="105"/>
      <c r="T95" s="106"/>
      <c r="U95" s="107"/>
      <c r="V95" s="3"/>
      <c r="W95" s="3"/>
      <c r="X95" s="3"/>
      <c r="Y95" s="3"/>
      <c r="Z95" s="3"/>
      <c r="AA95" s="3"/>
      <c r="AB95" s="3"/>
      <c r="AC95" s="3"/>
    </row>
    <row r="96" spans="1:29" ht="15.6" x14ac:dyDescent="0.3">
      <c r="A96" s="4">
        <v>43640</v>
      </c>
      <c r="B96" s="5"/>
      <c r="C96" s="5"/>
      <c r="D96" s="5">
        <f t="shared" ref="D96" si="31">SUM(C96-B96)</f>
        <v>0</v>
      </c>
      <c r="E96" s="6">
        <f t="shared" si="18"/>
        <v>0</v>
      </c>
      <c r="F96" s="7">
        <v>1500</v>
      </c>
      <c r="G96" s="8">
        <f t="shared" ref="G96:G116" si="32">PRODUCT(E96,36000)</f>
        <v>0</v>
      </c>
      <c r="H96" s="9"/>
      <c r="I96" s="9"/>
      <c r="J96" s="9"/>
      <c r="K96" s="9"/>
      <c r="L96" s="9"/>
      <c r="M96" s="9"/>
      <c r="N96" s="9"/>
      <c r="O96" s="9"/>
      <c r="P96" s="9"/>
      <c r="Q96" s="10"/>
      <c r="R96" s="11"/>
      <c r="S96" s="12"/>
      <c r="T96" s="13"/>
      <c r="U96" s="14"/>
      <c r="V96" s="3"/>
      <c r="W96" s="3"/>
      <c r="X96" s="3"/>
      <c r="Y96" s="3"/>
      <c r="Z96" s="3"/>
      <c r="AA96" s="3"/>
      <c r="AB96" s="3"/>
      <c r="AC96" s="3"/>
    </row>
    <row r="97" spans="1:29" ht="15.6" x14ac:dyDescent="0.3">
      <c r="A97" s="15"/>
      <c r="B97" s="16"/>
      <c r="C97" s="16"/>
      <c r="D97" s="16"/>
      <c r="E97" s="17"/>
      <c r="F97" s="18"/>
      <c r="G97" s="19"/>
      <c r="H97" s="20"/>
      <c r="I97" s="20"/>
      <c r="J97" s="20"/>
      <c r="K97" s="20"/>
      <c r="L97" s="20"/>
      <c r="M97" s="20"/>
      <c r="N97" s="20"/>
      <c r="O97" s="20"/>
      <c r="P97" s="20"/>
      <c r="Q97" s="21"/>
      <c r="R97" s="22"/>
      <c r="S97" s="23"/>
      <c r="T97" s="24"/>
      <c r="U97" s="25"/>
      <c r="V97" s="3"/>
      <c r="W97" s="3"/>
      <c r="X97" s="3"/>
      <c r="Y97" s="3"/>
      <c r="Z97" s="3"/>
      <c r="AA97" s="3"/>
      <c r="AB97" s="3"/>
      <c r="AC97" s="3"/>
    </row>
    <row r="98" spans="1:29" ht="15.6" x14ac:dyDescent="0.3">
      <c r="A98" s="15"/>
      <c r="B98" s="16"/>
      <c r="C98" s="16"/>
      <c r="D98" s="16"/>
      <c r="E98" s="17"/>
      <c r="F98" s="18"/>
      <c r="G98" s="19"/>
      <c r="H98" s="20"/>
      <c r="I98" s="20"/>
      <c r="J98" s="20"/>
      <c r="K98" s="20"/>
      <c r="L98" s="20"/>
      <c r="M98" s="20"/>
      <c r="N98" s="20"/>
      <c r="O98" s="20"/>
      <c r="P98" s="20"/>
      <c r="Q98" s="26"/>
      <c r="R98" s="22"/>
      <c r="S98" s="27"/>
      <c r="T98" s="24"/>
      <c r="U98" s="25"/>
      <c r="V98" s="3"/>
      <c r="W98" s="3"/>
      <c r="X98" s="3"/>
      <c r="Y98" s="3"/>
      <c r="Z98" s="3"/>
      <c r="AA98" s="3"/>
      <c r="AB98" s="3"/>
      <c r="AC98" s="3"/>
    </row>
    <row r="99" spans="1:29" ht="16.2" thickBot="1" x14ac:dyDescent="0.35">
      <c r="A99" s="28"/>
      <c r="B99" s="29"/>
      <c r="C99" s="29"/>
      <c r="D99" s="29"/>
      <c r="E99" s="30"/>
      <c r="F99" s="31"/>
      <c r="G99" s="32"/>
      <c r="H99" s="33"/>
      <c r="I99" s="33"/>
      <c r="J99" s="33"/>
      <c r="K99" s="33"/>
      <c r="L99" s="33"/>
      <c r="M99" s="33"/>
      <c r="N99" s="33"/>
      <c r="O99" s="33"/>
      <c r="P99" s="33"/>
      <c r="Q99" s="34"/>
      <c r="R99" s="35"/>
      <c r="S99" s="36"/>
      <c r="T99" s="37"/>
      <c r="U99" s="38"/>
      <c r="V99" s="3"/>
      <c r="W99" s="3"/>
      <c r="X99" s="3"/>
      <c r="Y99" s="3"/>
      <c r="Z99" s="3"/>
      <c r="AA99" s="3"/>
      <c r="AB99" s="3"/>
      <c r="AC99" s="3"/>
    </row>
    <row r="100" spans="1:29" ht="15.6" x14ac:dyDescent="0.3">
      <c r="A100" s="4">
        <v>43641</v>
      </c>
      <c r="B100" s="5"/>
      <c r="C100" s="5"/>
      <c r="D100" s="5">
        <f t="shared" ref="D100" si="33">SUM(C100-B100)</f>
        <v>0</v>
      </c>
      <c r="E100" s="6">
        <f t="shared" ref="E100:E116" si="34">SUM(D100)</f>
        <v>0</v>
      </c>
      <c r="F100" s="7">
        <v>1500</v>
      </c>
      <c r="G100" s="8">
        <f t="shared" si="32"/>
        <v>0</v>
      </c>
      <c r="H100" s="9"/>
      <c r="I100" s="9"/>
      <c r="J100" s="9"/>
      <c r="K100" s="9"/>
      <c r="L100" s="9"/>
      <c r="M100" s="9"/>
      <c r="N100" s="9"/>
      <c r="O100" s="9"/>
      <c r="P100" s="9"/>
      <c r="Q100" s="10"/>
      <c r="R100" s="11"/>
      <c r="S100" s="12"/>
      <c r="T100" s="13"/>
      <c r="U100" s="14"/>
      <c r="V100" s="3"/>
      <c r="W100" s="3"/>
      <c r="X100" s="3"/>
      <c r="Y100" s="3"/>
      <c r="Z100" s="3"/>
      <c r="AA100" s="3"/>
      <c r="AB100" s="3"/>
      <c r="AC100" s="3"/>
    </row>
    <row r="101" spans="1:29" ht="15.6" x14ac:dyDescent="0.3">
      <c r="A101" s="15"/>
      <c r="B101" s="16"/>
      <c r="C101" s="16"/>
      <c r="D101" s="16"/>
      <c r="E101" s="17"/>
      <c r="F101" s="18"/>
      <c r="G101" s="19"/>
      <c r="H101" s="20"/>
      <c r="I101" s="20"/>
      <c r="J101" s="20"/>
      <c r="K101" s="20"/>
      <c r="L101" s="20"/>
      <c r="M101" s="20"/>
      <c r="N101" s="20"/>
      <c r="O101" s="20"/>
      <c r="P101" s="20"/>
      <c r="Q101" s="21"/>
      <c r="R101" s="22"/>
      <c r="S101" s="23"/>
      <c r="T101" s="24"/>
      <c r="U101" s="25"/>
      <c r="V101" s="3"/>
      <c r="W101" s="3"/>
      <c r="X101" s="3"/>
      <c r="Y101" s="3"/>
      <c r="Z101" s="3"/>
      <c r="AA101" s="3"/>
      <c r="AB101" s="3"/>
      <c r="AC101" s="3"/>
    </row>
    <row r="102" spans="1:29" ht="15.6" x14ac:dyDescent="0.3">
      <c r="A102" s="15"/>
      <c r="B102" s="16"/>
      <c r="C102" s="16"/>
      <c r="D102" s="16"/>
      <c r="E102" s="17"/>
      <c r="F102" s="18"/>
      <c r="G102" s="19"/>
      <c r="H102" s="20"/>
      <c r="I102" s="20"/>
      <c r="J102" s="20"/>
      <c r="K102" s="20"/>
      <c r="L102" s="20"/>
      <c r="M102" s="20"/>
      <c r="N102" s="20"/>
      <c r="O102" s="20"/>
      <c r="P102" s="20"/>
      <c r="Q102" s="26"/>
      <c r="R102" s="22"/>
      <c r="S102" s="27"/>
      <c r="T102" s="24"/>
      <c r="U102" s="25"/>
      <c r="V102" s="3"/>
      <c r="W102" s="3"/>
      <c r="X102" s="3"/>
      <c r="Y102" s="3"/>
      <c r="Z102" s="3"/>
      <c r="AA102" s="3"/>
      <c r="AB102" s="3"/>
      <c r="AC102" s="3"/>
    </row>
    <row r="103" spans="1:29" ht="16.2" thickBot="1" x14ac:dyDescent="0.35">
      <c r="A103" s="28"/>
      <c r="B103" s="29"/>
      <c r="C103" s="29"/>
      <c r="D103" s="29"/>
      <c r="E103" s="30"/>
      <c r="F103" s="31"/>
      <c r="G103" s="32"/>
      <c r="H103" s="33"/>
      <c r="I103" s="33"/>
      <c r="J103" s="33"/>
      <c r="K103" s="33"/>
      <c r="L103" s="33"/>
      <c r="M103" s="33"/>
      <c r="N103" s="33"/>
      <c r="O103" s="33"/>
      <c r="P103" s="33"/>
      <c r="Q103" s="34"/>
      <c r="R103" s="35"/>
      <c r="S103" s="36"/>
      <c r="T103" s="37"/>
      <c r="U103" s="38"/>
      <c r="V103" s="3"/>
      <c r="W103" s="3"/>
      <c r="X103" s="3"/>
      <c r="Y103" s="3"/>
      <c r="Z103" s="3"/>
      <c r="AA103" s="3"/>
      <c r="AB103" s="3"/>
      <c r="AC103" s="3"/>
    </row>
    <row r="104" spans="1:29" ht="15.6" x14ac:dyDescent="0.3">
      <c r="A104" s="4">
        <v>43642</v>
      </c>
      <c r="B104" s="5"/>
      <c r="C104" s="5"/>
      <c r="D104" s="5">
        <f t="shared" ref="D104" si="35">SUM(C104-B104)</f>
        <v>0</v>
      </c>
      <c r="E104" s="6">
        <f t="shared" si="34"/>
        <v>0</v>
      </c>
      <c r="F104" s="7">
        <v>1500</v>
      </c>
      <c r="G104" s="8">
        <f t="shared" si="32"/>
        <v>0</v>
      </c>
      <c r="H104" s="9"/>
      <c r="I104" s="9"/>
      <c r="J104" s="9"/>
      <c r="K104" s="9"/>
      <c r="L104" s="9"/>
      <c r="M104" s="9"/>
      <c r="N104" s="9"/>
      <c r="O104" s="9"/>
      <c r="P104" s="9"/>
      <c r="Q104" s="10"/>
      <c r="R104" s="11"/>
      <c r="S104" s="12"/>
      <c r="T104" s="13"/>
      <c r="U104" s="14"/>
      <c r="V104" s="3"/>
      <c r="W104" s="3"/>
      <c r="X104" s="3"/>
      <c r="Y104" s="3"/>
      <c r="Z104" s="3"/>
      <c r="AA104" s="3"/>
      <c r="AB104" s="3"/>
      <c r="AC104" s="3"/>
    </row>
    <row r="105" spans="1:29" ht="15.6" x14ac:dyDescent="0.3">
      <c r="A105" s="15"/>
      <c r="B105" s="16"/>
      <c r="C105" s="16"/>
      <c r="D105" s="16"/>
      <c r="E105" s="17"/>
      <c r="F105" s="18"/>
      <c r="G105" s="19"/>
      <c r="H105" s="20"/>
      <c r="I105" s="20"/>
      <c r="J105" s="20"/>
      <c r="K105" s="20"/>
      <c r="L105" s="20"/>
      <c r="M105" s="20"/>
      <c r="N105" s="20"/>
      <c r="O105" s="20"/>
      <c r="P105" s="20"/>
      <c r="Q105" s="21"/>
      <c r="R105" s="22"/>
      <c r="S105" s="23"/>
      <c r="T105" s="24"/>
      <c r="U105" s="25"/>
      <c r="V105" s="3"/>
      <c r="W105" s="3"/>
      <c r="X105" s="3"/>
      <c r="Y105" s="3"/>
      <c r="Z105" s="3"/>
      <c r="AA105" s="3"/>
      <c r="AB105" s="3"/>
      <c r="AC105" s="3"/>
    </row>
    <row r="106" spans="1:29" ht="15.6" x14ac:dyDescent="0.3">
      <c r="A106" s="15"/>
      <c r="B106" s="16"/>
      <c r="C106" s="16"/>
      <c r="D106" s="16"/>
      <c r="E106" s="17"/>
      <c r="F106" s="18"/>
      <c r="G106" s="19"/>
      <c r="H106" s="20"/>
      <c r="I106" s="20"/>
      <c r="J106" s="20"/>
      <c r="K106" s="20"/>
      <c r="L106" s="20"/>
      <c r="M106" s="20"/>
      <c r="N106" s="20"/>
      <c r="O106" s="20"/>
      <c r="P106" s="20"/>
      <c r="Q106" s="26"/>
      <c r="R106" s="22"/>
      <c r="S106" s="27"/>
      <c r="T106" s="24"/>
      <c r="U106" s="25"/>
      <c r="V106" s="3"/>
      <c r="W106" s="3"/>
      <c r="X106" s="3"/>
      <c r="Y106" s="3"/>
      <c r="Z106" s="3"/>
      <c r="AA106" s="3"/>
      <c r="AB106" s="3"/>
      <c r="AC106" s="3"/>
    </row>
    <row r="107" spans="1:29" ht="16.2" thickBot="1" x14ac:dyDescent="0.35">
      <c r="A107" s="28"/>
      <c r="B107" s="29"/>
      <c r="C107" s="29"/>
      <c r="D107" s="29"/>
      <c r="E107" s="30"/>
      <c r="F107" s="31"/>
      <c r="G107" s="32"/>
      <c r="H107" s="33"/>
      <c r="I107" s="33"/>
      <c r="J107" s="33"/>
      <c r="K107" s="33"/>
      <c r="L107" s="33"/>
      <c r="M107" s="33"/>
      <c r="N107" s="33"/>
      <c r="O107" s="33"/>
      <c r="P107" s="33"/>
      <c r="Q107" s="34"/>
      <c r="R107" s="35"/>
      <c r="S107" s="36"/>
      <c r="T107" s="37"/>
      <c r="U107" s="38"/>
      <c r="V107" s="3"/>
      <c r="W107" s="3"/>
      <c r="X107" s="3"/>
      <c r="Y107" s="3"/>
      <c r="Z107" s="3"/>
      <c r="AA107" s="3"/>
      <c r="AB107" s="3"/>
      <c r="AC107" s="3"/>
    </row>
    <row r="108" spans="1:29" ht="15.6" x14ac:dyDescent="0.3">
      <c r="A108" s="4">
        <v>43643</v>
      </c>
      <c r="B108" s="5"/>
      <c r="C108" s="5"/>
      <c r="D108" s="5">
        <f t="shared" ref="D108" si="36">SUM(C108-B108)</f>
        <v>0</v>
      </c>
      <c r="E108" s="6">
        <f t="shared" si="34"/>
        <v>0</v>
      </c>
      <c r="F108" s="7">
        <v>1500</v>
      </c>
      <c r="G108" s="8">
        <f t="shared" si="32"/>
        <v>0</v>
      </c>
      <c r="H108" s="9"/>
      <c r="I108" s="9"/>
      <c r="J108" s="9"/>
      <c r="K108" s="9"/>
      <c r="L108" s="9"/>
      <c r="M108" s="9"/>
      <c r="N108" s="9"/>
      <c r="O108" s="9"/>
      <c r="P108" s="9"/>
      <c r="Q108" s="10"/>
      <c r="R108" s="11"/>
      <c r="S108" s="12"/>
      <c r="T108" s="13"/>
      <c r="U108" s="14"/>
      <c r="V108" s="3"/>
      <c r="W108" s="3"/>
      <c r="X108" s="3"/>
      <c r="Y108" s="3"/>
      <c r="Z108" s="3"/>
      <c r="AA108" s="3"/>
      <c r="AB108" s="3"/>
      <c r="AC108" s="3"/>
    </row>
    <row r="109" spans="1:29" ht="15.6" x14ac:dyDescent="0.3">
      <c r="A109" s="15"/>
      <c r="B109" s="16"/>
      <c r="C109" s="16"/>
      <c r="D109" s="16"/>
      <c r="E109" s="17"/>
      <c r="F109" s="18"/>
      <c r="G109" s="19"/>
      <c r="H109" s="20"/>
      <c r="I109" s="20"/>
      <c r="J109" s="20"/>
      <c r="K109" s="20"/>
      <c r="L109" s="20"/>
      <c r="M109" s="20"/>
      <c r="N109" s="20"/>
      <c r="O109" s="20"/>
      <c r="P109" s="20"/>
      <c r="Q109" s="21"/>
      <c r="R109" s="22"/>
      <c r="S109" s="23"/>
      <c r="T109" s="24"/>
      <c r="U109" s="25"/>
      <c r="V109" s="3"/>
      <c r="W109" s="3"/>
      <c r="X109" s="3"/>
      <c r="Y109" s="3"/>
      <c r="Z109" s="3"/>
      <c r="AA109" s="3"/>
      <c r="AB109" s="3"/>
      <c r="AC109" s="3"/>
    </row>
    <row r="110" spans="1:29" ht="15.6" x14ac:dyDescent="0.3">
      <c r="A110" s="15"/>
      <c r="B110" s="16"/>
      <c r="C110" s="16"/>
      <c r="D110" s="16"/>
      <c r="E110" s="17"/>
      <c r="F110" s="18"/>
      <c r="G110" s="19"/>
      <c r="H110" s="20"/>
      <c r="I110" s="20"/>
      <c r="J110" s="20"/>
      <c r="K110" s="20"/>
      <c r="L110" s="20"/>
      <c r="M110" s="20"/>
      <c r="N110" s="20"/>
      <c r="O110" s="20"/>
      <c r="P110" s="20"/>
      <c r="Q110" s="26"/>
      <c r="R110" s="22"/>
      <c r="S110" s="27"/>
      <c r="T110" s="24"/>
      <c r="U110" s="25"/>
      <c r="V110" s="3"/>
      <c r="W110" s="3"/>
      <c r="X110" s="3"/>
      <c r="Y110" s="3"/>
      <c r="Z110" s="3"/>
      <c r="AA110" s="3"/>
      <c r="AB110" s="3"/>
      <c r="AC110" s="3"/>
    </row>
    <row r="111" spans="1:29" ht="16.2" thickBot="1" x14ac:dyDescent="0.35">
      <c r="A111" s="28"/>
      <c r="B111" s="29"/>
      <c r="C111" s="29"/>
      <c r="D111" s="29"/>
      <c r="E111" s="30"/>
      <c r="F111" s="31"/>
      <c r="G111" s="32"/>
      <c r="H111" s="33"/>
      <c r="I111" s="33"/>
      <c r="J111" s="33"/>
      <c r="K111" s="33"/>
      <c r="L111" s="33"/>
      <c r="M111" s="33"/>
      <c r="N111" s="33"/>
      <c r="O111" s="33"/>
      <c r="P111" s="33"/>
      <c r="Q111" s="34"/>
      <c r="R111" s="35"/>
      <c r="S111" s="36"/>
      <c r="T111" s="37"/>
      <c r="U111" s="38"/>
      <c r="V111" s="3"/>
      <c r="W111" s="3"/>
      <c r="X111" s="3"/>
      <c r="Y111" s="3"/>
      <c r="Z111" s="3"/>
      <c r="AA111" s="3"/>
      <c r="AB111" s="3"/>
      <c r="AC111" s="3"/>
    </row>
    <row r="112" spans="1:29" ht="15.6" x14ac:dyDescent="0.3">
      <c r="A112" s="4">
        <v>43644</v>
      </c>
      <c r="B112" s="5"/>
      <c r="C112" s="5"/>
      <c r="D112" s="5">
        <f t="shared" ref="D112" si="37">SUM(C112-B112)</f>
        <v>0</v>
      </c>
      <c r="E112" s="6">
        <f t="shared" si="34"/>
        <v>0</v>
      </c>
      <c r="F112" s="7">
        <v>1500</v>
      </c>
      <c r="G112" s="8">
        <f t="shared" si="32"/>
        <v>0</v>
      </c>
      <c r="H112" s="9"/>
      <c r="I112" s="9"/>
      <c r="J112" s="9"/>
      <c r="K112" s="9"/>
      <c r="L112" s="9"/>
      <c r="M112" s="9"/>
      <c r="N112" s="9"/>
      <c r="O112" s="9"/>
      <c r="P112" s="9"/>
      <c r="Q112" s="10"/>
      <c r="R112" s="11"/>
      <c r="S112" s="12"/>
      <c r="T112" s="13"/>
      <c r="U112" s="14"/>
      <c r="V112" s="3"/>
      <c r="W112" s="3"/>
      <c r="X112" s="3"/>
      <c r="Y112" s="3"/>
      <c r="Z112" s="3"/>
      <c r="AA112" s="3"/>
      <c r="AB112" s="3"/>
      <c r="AC112" s="3"/>
    </row>
    <row r="113" spans="1:29" ht="15.6" x14ac:dyDescent="0.3">
      <c r="A113" s="15"/>
      <c r="B113" s="16"/>
      <c r="C113" s="16"/>
      <c r="D113" s="16"/>
      <c r="E113" s="17"/>
      <c r="F113" s="18"/>
      <c r="G113" s="19"/>
      <c r="H113" s="20"/>
      <c r="I113" s="20"/>
      <c r="J113" s="20"/>
      <c r="K113" s="20"/>
      <c r="L113" s="20"/>
      <c r="M113" s="20"/>
      <c r="N113" s="20"/>
      <c r="O113" s="20"/>
      <c r="P113" s="20"/>
      <c r="Q113" s="21"/>
      <c r="R113" s="22"/>
      <c r="S113" s="23"/>
      <c r="T113" s="24"/>
      <c r="U113" s="25"/>
      <c r="V113" s="3"/>
      <c r="W113" s="3"/>
      <c r="X113" s="3"/>
      <c r="Y113" s="3"/>
      <c r="Z113" s="3"/>
      <c r="AA113" s="3"/>
      <c r="AB113" s="3"/>
      <c r="AC113" s="3"/>
    </row>
    <row r="114" spans="1:29" ht="15.6" x14ac:dyDescent="0.3">
      <c r="A114" s="15"/>
      <c r="B114" s="16"/>
      <c r="C114" s="16"/>
      <c r="D114" s="16"/>
      <c r="E114" s="17"/>
      <c r="F114" s="18"/>
      <c r="G114" s="19"/>
      <c r="H114" s="20"/>
      <c r="I114" s="20"/>
      <c r="J114" s="20"/>
      <c r="K114" s="20"/>
      <c r="L114" s="20"/>
      <c r="M114" s="20"/>
      <c r="N114" s="20"/>
      <c r="O114" s="20"/>
      <c r="P114" s="20"/>
      <c r="Q114" s="26"/>
      <c r="R114" s="22"/>
      <c r="S114" s="27"/>
      <c r="T114" s="24"/>
      <c r="U114" s="25"/>
      <c r="V114" s="3"/>
      <c r="W114" s="3"/>
      <c r="X114" s="3"/>
      <c r="Y114" s="3"/>
      <c r="Z114" s="3"/>
      <c r="AA114" s="3"/>
      <c r="AB114" s="3"/>
      <c r="AC114" s="3"/>
    </row>
    <row r="115" spans="1:29" ht="16.2" thickBot="1" x14ac:dyDescent="0.35">
      <c r="A115" s="28"/>
      <c r="B115" s="29"/>
      <c r="C115" s="29"/>
      <c r="D115" s="29"/>
      <c r="E115" s="30"/>
      <c r="F115" s="31"/>
      <c r="G115" s="32"/>
      <c r="H115" s="33"/>
      <c r="I115" s="33"/>
      <c r="J115" s="33"/>
      <c r="K115" s="33"/>
      <c r="L115" s="33"/>
      <c r="M115" s="33"/>
      <c r="N115" s="33"/>
      <c r="O115" s="33"/>
      <c r="P115" s="33"/>
      <c r="Q115" s="34"/>
      <c r="R115" s="35"/>
      <c r="S115" s="36"/>
      <c r="T115" s="37"/>
      <c r="U115" s="38"/>
      <c r="V115" s="3"/>
      <c r="W115" s="3"/>
      <c r="X115" s="3"/>
      <c r="Y115" s="3"/>
      <c r="Z115" s="3"/>
      <c r="AA115" s="3"/>
      <c r="AB115" s="3"/>
      <c r="AC115" s="3"/>
    </row>
    <row r="116" spans="1:29" ht="15.6" x14ac:dyDescent="0.3">
      <c r="A116" s="4">
        <v>43645</v>
      </c>
      <c r="B116" s="5"/>
      <c r="C116" s="5"/>
      <c r="D116" s="5">
        <f t="shared" ref="D116" si="38">SUM(C116-B116)</f>
        <v>0</v>
      </c>
      <c r="E116" s="6">
        <f t="shared" si="34"/>
        <v>0</v>
      </c>
      <c r="F116" s="7">
        <v>1500</v>
      </c>
      <c r="G116" s="8">
        <f t="shared" si="32"/>
        <v>0</v>
      </c>
      <c r="H116" s="9"/>
      <c r="I116" s="9"/>
      <c r="J116" s="9"/>
      <c r="K116" s="9"/>
      <c r="L116" s="9"/>
      <c r="M116" s="9"/>
      <c r="N116" s="9"/>
      <c r="O116" s="9"/>
      <c r="P116" s="9"/>
      <c r="Q116" s="10"/>
      <c r="R116" s="11"/>
      <c r="S116" s="12"/>
      <c r="T116" s="13"/>
      <c r="U116" s="14"/>
      <c r="V116" s="3"/>
      <c r="W116" s="3"/>
      <c r="X116" s="3"/>
      <c r="Y116" s="3"/>
      <c r="Z116" s="3"/>
      <c r="AA116" s="3"/>
      <c r="AB116" s="3"/>
      <c r="AC116" s="3"/>
    </row>
    <row r="117" spans="1:29" ht="15.6" x14ac:dyDescent="0.3">
      <c r="A117" s="15"/>
      <c r="B117" s="16"/>
      <c r="C117" s="16"/>
      <c r="D117" s="16"/>
      <c r="E117" s="17"/>
      <c r="F117" s="18"/>
      <c r="G117" s="19"/>
      <c r="H117" s="20"/>
      <c r="I117" s="20"/>
      <c r="J117" s="20"/>
      <c r="K117" s="20"/>
      <c r="L117" s="20"/>
      <c r="M117" s="20"/>
      <c r="N117" s="20"/>
      <c r="O117" s="20"/>
      <c r="P117" s="20"/>
      <c r="Q117" s="21"/>
      <c r="R117" s="22"/>
      <c r="S117" s="23"/>
      <c r="T117" s="24"/>
      <c r="U117" s="25"/>
      <c r="V117" s="3"/>
      <c r="W117" s="3"/>
      <c r="X117" s="3"/>
      <c r="Y117" s="3"/>
      <c r="Z117" s="3"/>
      <c r="AA117" s="3"/>
      <c r="AB117" s="3"/>
      <c r="AC117" s="3"/>
    </row>
    <row r="118" spans="1:29" ht="15.6" x14ac:dyDescent="0.3">
      <c r="A118" s="15"/>
      <c r="B118" s="16"/>
      <c r="C118" s="16"/>
      <c r="D118" s="16"/>
      <c r="E118" s="17"/>
      <c r="F118" s="18"/>
      <c r="G118" s="19"/>
      <c r="H118" s="20"/>
      <c r="I118" s="20"/>
      <c r="J118" s="20"/>
      <c r="K118" s="20"/>
      <c r="L118" s="20"/>
      <c r="M118" s="20"/>
      <c r="N118" s="20"/>
      <c r="O118" s="20"/>
      <c r="P118" s="20"/>
      <c r="Q118" s="26"/>
      <c r="R118" s="22"/>
      <c r="S118" s="27"/>
      <c r="T118" s="24"/>
      <c r="U118" s="25"/>
      <c r="V118" s="3"/>
      <c r="W118" s="3"/>
      <c r="X118" s="3"/>
      <c r="Y118" s="3"/>
      <c r="Z118" s="3"/>
      <c r="AA118" s="3"/>
      <c r="AB118" s="3"/>
      <c r="AC118" s="3"/>
    </row>
    <row r="119" spans="1:29" ht="16.2" thickBot="1" x14ac:dyDescent="0.35">
      <c r="A119" s="28"/>
      <c r="B119" s="29"/>
      <c r="C119" s="29"/>
      <c r="D119" s="29"/>
      <c r="E119" s="30"/>
      <c r="F119" s="31"/>
      <c r="G119" s="32"/>
      <c r="H119" s="33"/>
      <c r="I119" s="33"/>
      <c r="J119" s="33"/>
      <c r="K119" s="33"/>
      <c r="L119" s="33"/>
      <c r="M119" s="33"/>
      <c r="N119" s="33"/>
      <c r="O119" s="33"/>
      <c r="P119" s="33"/>
      <c r="Q119" s="34"/>
      <c r="R119" s="35"/>
      <c r="S119" s="36"/>
      <c r="T119" s="37"/>
      <c r="U119" s="38"/>
      <c r="V119" s="3"/>
      <c r="W119" s="3"/>
      <c r="X119" s="3"/>
      <c r="Y119" s="3"/>
      <c r="Z119" s="3"/>
      <c r="AA119" s="3"/>
      <c r="AB119" s="3"/>
      <c r="AC119" s="3"/>
    </row>
    <row r="120" spans="1:29" ht="15.6" x14ac:dyDescent="0.3">
      <c r="A120" s="39">
        <v>43646</v>
      </c>
      <c r="B120" s="72"/>
      <c r="C120" s="72"/>
      <c r="D120" s="72"/>
      <c r="E120" s="72"/>
      <c r="F120" s="72"/>
      <c r="G120" s="43">
        <f>SUM(G96:G119)</f>
        <v>0</v>
      </c>
      <c r="H120" s="96"/>
      <c r="I120" s="96"/>
      <c r="J120" s="96"/>
      <c r="K120" s="96"/>
      <c r="L120" s="96"/>
      <c r="M120" s="96"/>
      <c r="N120" s="96"/>
      <c r="O120" s="96"/>
      <c r="P120" s="96"/>
      <c r="Q120" s="75"/>
      <c r="R120" s="76">
        <f>SUM(R96:R119)</f>
        <v>0</v>
      </c>
      <c r="S120" s="97">
        <f>SUM(G120:R123)</f>
        <v>0</v>
      </c>
      <c r="T120" s="78">
        <f>SUM(T96:T119)</f>
        <v>0</v>
      </c>
      <c r="U120" s="79">
        <f>S120-T120</f>
        <v>0</v>
      </c>
      <c r="V120" s="3"/>
      <c r="W120" s="3"/>
      <c r="X120" s="3"/>
      <c r="Y120" s="3"/>
      <c r="Z120" s="3"/>
      <c r="AA120" s="3"/>
      <c r="AB120" s="3"/>
      <c r="AC120" s="3"/>
    </row>
    <row r="121" spans="1:29" ht="15.6" x14ac:dyDescent="0.3">
      <c r="A121" s="50"/>
      <c r="B121" s="80"/>
      <c r="C121" s="80"/>
      <c r="D121" s="80"/>
      <c r="E121" s="80"/>
      <c r="F121" s="80"/>
      <c r="G121" s="54"/>
      <c r="H121" s="100"/>
      <c r="I121" s="100"/>
      <c r="J121" s="100"/>
      <c r="K121" s="100"/>
      <c r="L121" s="100"/>
      <c r="M121" s="100"/>
      <c r="N121" s="100"/>
      <c r="O121" s="100"/>
      <c r="P121" s="100"/>
      <c r="Q121" s="83"/>
      <c r="R121" s="84"/>
      <c r="S121" s="101"/>
      <c r="T121" s="86"/>
      <c r="U121" s="87"/>
      <c r="V121" s="3"/>
      <c r="W121" s="3"/>
      <c r="X121" s="3"/>
      <c r="Y121" s="3"/>
      <c r="Z121" s="3"/>
      <c r="AA121" s="3"/>
      <c r="AB121" s="3"/>
      <c r="AC121" s="3"/>
    </row>
    <row r="122" spans="1:29" ht="15.6" x14ac:dyDescent="0.3">
      <c r="A122" s="50"/>
      <c r="B122" s="80"/>
      <c r="C122" s="80"/>
      <c r="D122" s="80"/>
      <c r="E122" s="80"/>
      <c r="F122" s="80"/>
      <c r="G122" s="54"/>
      <c r="H122" s="100"/>
      <c r="I122" s="100"/>
      <c r="J122" s="100"/>
      <c r="K122" s="100"/>
      <c r="L122" s="100"/>
      <c r="M122" s="100"/>
      <c r="N122" s="100"/>
      <c r="O122" s="100"/>
      <c r="P122" s="100"/>
      <c r="Q122" s="83"/>
      <c r="R122" s="84"/>
      <c r="S122" s="101"/>
      <c r="T122" s="86"/>
      <c r="U122" s="87"/>
      <c r="V122" s="3"/>
      <c r="W122" s="3"/>
      <c r="X122" s="3"/>
      <c r="Y122" s="3"/>
      <c r="Z122" s="3"/>
      <c r="AA122" s="3"/>
      <c r="AB122" s="3"/>
      <c r="AC122" s="3"/>
    </row>
    <row r="123" spans="1:29" ht="16.2" thickBot="1" x14ac:dyDescent="0.35">
      <c r="A123" s="61"/>
      <c r="B123" s="88"/>
      <c r="C123" s="88"/>
      <c r="D123" s="88"/>
      <c r="E123" s="88"/>
      <c r="F123" s="88"/>
      <c r="G123" s="65"/>
      <c r="H123" s="104"/>
      <c r="I123" s="104"/>
      <c r="J123" s="104"/>
      <c r="K123" s="104"/>
      <c r="L123" s="104"/>
      <c r="M123" s="104"/>
      <c r="N123" s="104"/>
      <c r="O123" s="104"/>
      <c r="P123" s="104"/>
      <c r="Q123" s="91"/>
      <c r="R123" s="92"/>
      <c r="S123" s="105"/>
      <c r="T123" s="94"/>
      <c r="U123" s="95"/>
      <c r="V123" s="3"/>
      <c r="W123" s="3"/>
      <c r="X123" s="3"/>
      <c r="Y123" s="3"/>
      <c r="Z123" s="3"/>
      <c r="AA123" s="3"/>
      <c r="AB123" s="3"/>
      <c r="AC123" s="3"/>
    </row>
    <row r="124" spans="1:29" ht="15.6" x14ac:dyDescent="0.3">
      <c r="A124" s="108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109"/>
      <c r="R124" s="109"/>
      <c r="S124" s="109"/>
      <c r="T124" s="109"/>
      <c r="U124" s="3"/>
      <c r="V124" s="3"/>
      <c r="W124" s="3"/>
      <c r="X124" s="3"/>
      <c r="Y124" s="3"/>
      <c r="Z124" s="3"/>
      <c r="AA124" s="3"/>
      <c r="AB124" s="3"/>
      <c r="AC124" s="3"/>
    </row>
    <row r="125" spans="1:29" ht="15.6" x14ac:dyDescent="0.3">
      <c r="A125" s="108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109"/>
      <c r="R125" s="109"/>
      <c r="S125" s="109"/>
      <c r="T125" s="109"/>
      <c r="U125" s="3"/>
      <c r="V125" s="3"/>
      <c r="W125" s="3"/>
      <c r="X125" s="3"/>
      <c r="Y125" s="3"/>
      <c r="Z125" s="3"/>
      <c r="AA125" s="3"/>
      <c r="AB125" s="3"/>
      <c r="AC125" s="3"/>
    </row>
    <row r="126" spans="1:29" ht="15.6" x14ac:dyDescent="0.3">
      <c r="A126" s="108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109"/>
      <c r="R126" s="109"/>
      <c r="S126" s="109"/>
      <c r="T126" s="109"/>
      <c r="U126" s="3"/>
      <c r="V126" s="3"/>
      <c r="W126" s="3"/>
      <c r="X126" s="3"/>
      <c r="Y126" s="3"/>
      <c r="Z126" s="3"/>
      <c r="AA126" s="3"/>
      <c r="AB126" s="3"/>
      <c r="AC126" s="3"/>
    </row>
    <row r="127" spans="1:29" ht="15.6" x14ac:dyDescent="0.3">
      <c r="A127" s="108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109"/>
      <c r="R127" s="109"/>
      <c r="S127" s="109"/>
      <c r="T127" s="109"/>
      <c r="U127" s="3"/>
      <c r="V127" s="3"/>
      <c r="W127" s="3"/>
      <c r="X127" s="3"/>
      <c r="Y127" s="3"/>
      <c r="Z127" s="3"/>
      <c r="AA127" s="3"/>
      <c r="AB127" s="3"/>
      <c r="AC127" s="3"/>
    </row>
    <row r="128" spans="1:29" ht="15.6" x14ac:dyDescent="0.3">
      <c r="A128" s="108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109"/>
      <c r="R128" s="109"/>
      <c r="S128" s="109"/>
      <c r="T128" s="109"/>
      <c r="U128" s="3"/>
      <c r="V128" s="3"/>
      <c r="W128" s="3"/>
      <c r="X128" s="3"/>
      <c r="Y128" s="3"/>
      <c r="Z128" s="3"/>
      <c r="AA128" s="3"/>
      <c r="AB128" s="3"/>
      <c r="AC128" s="3"/>
    </row>
    <row r="129" spans="1:29" ht="15.6" x14ac:dyDescent="0.3">
      <c r="A129" s="108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109"/>
      <c r="R129" s="109"/>
      <c r="S129" s="109"/>
      <c r="T129" s="109"/>
      <c r="U129" s="3"/>
      <c r="V129" s="3"/>
      <c r="W129" s="3"/>
      <c r="X129" s="3"/>
      <c r="Y129" s="3"/>
      <c r="Z129" s="3"/>
      <c r="AA129" s="3"/>
      <c r="AB129" s="3"/>
      <c r="AC129" s="3"/>
    </row>
    <row r="130" spans="1:29" ht="15.6" x14ac:dyDescent="0.3">
      <c r="A130" s="108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109"/>
      <c r="R130" s="109"/>
      <c r="S130" s="109"/>
      <c r="T130" s="109"/>
      <c r="U130" s="3"/>
      <c r="V130" s="3"/>
      <c r="W130" s="3"/>
      <c r="X130" s="3"/>
      <c r="Y130" s="3"/>
      <c r="Z130" s="3"/>
      <c r="AA130" s="3"/>
      <c r="AB130" s="3"/>
      <c r="AC130" s="3"/>
    </row>
    <row r="131" spans="1:29" ht="15.6" x14ac:dyDescent="0.3">
      <c r="A131" s="108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109"/>
      <c r="R131" s="109"/>
      <c r="S131" s="109"/>
      <c r="T131" s="109"/>
      <c r="U131" s="3"/>
      <c r="V131" s="3"/>
      <c r="W131" s="3"/>
      <c r="X131" s="3"/>
      <c r="Y131" s="3"/>
      <c r="Z131" s="3"/>
      <c r="AA131" s="3"/>
      <c r="AB131" s="3"/>
      <c r="AC131" s="3"/>
    </row>
    <row r="132" spans="1:29" ht="15.6" x14ac:dyDescent="0.3">
      <c r="A132" s="108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109"/>
      <c r="R132" s="109"/>
      <c r="S132" s="109"/>
      <c r="T132" s="109"/>
      <c r="U132" s="3"/>
      <c r="V132" s="3"/>
      <c r="W132" s="3"/>
      <c r="X132" s="3"/>
      <c r="Y132" s="3"/>
      <c r="Z132" s="3"/>
      <c r="AA132" s="3"/>
      <c r="AB132" s="3"/>
      <c r="AC132" s="3"/>
    </row>
  </sheetData>
  <autoFilter ref="A3:U72"/>
  <mergeCells count="413">
    <mergeCell ref="R116:R119"/>
    <mergeCell ref="Q92:Q95"/>
    <mergeCell ref="R92:R95"/>
    <mergeCell ref="S92:S95"/>
    <mergeCell ref="Q120:Q123"/>
    <mergeCell ref="R120:R123"/>
    <mergeCell ref="S120:S123"/>
    <mergeCell ref="Q96:Q97"/>
    <mergeCell ref="S96:S97"/>
    <mergeCell ref="Q28:Q31"/>
    <mergeCell ref="R28:R31"/>
    <mergeCell ref="S28:S31"/>
    <mergeCell ref="R32:R35"/>
    <mergeCell ref="R36:R39"/>
    <mergeCell ref="R40:R43"/>
    <mergeCell ref="R44:R47"/>
    <mergeCell ref="R48:R51"/>
    <mergeCell ref="R52:R55"/>
    <mergeCell ref="Q8:Q9"/>
    <mergeCell ref="S8:S9"/>
    <mergeCell ref="T8:T11"/>
    <mergeCell ref="S18:S19"/>
    <mergeCell ref="Q16:Q17"/>
    <mergeCell ref="R8:R11"/>
    <mergeCell ref="R12:R15"/>
    <mergeCell ref="R16:R19"/>
    <mergeCell ref="Q14:Q15"/>
    <mergeCell ref="S16:S17"/>
    <mergeCell ref="Q18:Q19"/>
    <mergeCell ref="U112:U115"/>
    <mergeCell ref="A108:A111"/>
    <mergeCell ref="B108:B111"/>
    <mergeCell ref="C108:C111"/>
    <mergeCell ref="T32:T35"/>
    <mergeCell ref="S10:S11"/>
    <mergeCell ref="Q10:Q11"/>
    <mergeCell ref="Q12:Q13"/>
    <mergeCell ref="U108:U111"/>
    <mergeCell ref="A112:A115"/>
    <mergeCell ref="B112:B115"/>
    <mergeCell ref="C112:C115"/>
    <mergeCell ref="U8:U11"/>
    <mergeCell ref="G72:G75"/>
    <mergeCell ref="G76:G79"/>
    <mergeCell ref="G80:G83"/>
    <mergeCell ref="G84:G87"/>
    <mergeCell ref="G88:G91"/>
    <mergeCell ref="G92:G95"/>
    <mergeCell ref="F108:F111"/>
    <mergeCell ref="Q108:Q109"/>
    <mergeCell ref="S12:S13"/>
    <mergeCell ref="T12:T15"/>
    <mergeCell ref="U116:U119"/>
    <mergeCell ref="A120:A123"/>
    <mergeCell ref="B120:B123"/>
    <mergeCell ref="C120:C123"/>
    <mergeCell ref="U120:U123"/>
    <mergeCell ref="A116:A119"/>
    <mergeCell ref="B116:B119"/>
    <mergeCell ref="C116:C119"/>
    <mergeCell ref="E116:E119"/>
    <mergeCell ref="E120:E123"/>
    <mergeCell ref="G116:G119"/>
    <mergeCell ref="G120:G123"/>
    <mergeCell ref="D116:D119"/>
    <mergeCell ref="F116:F119"/>
    <mergeCell ref="Q116:Q117"/>
    <mergeCell ref="S116:S117"/>
    <mergeCell ref="T116:T119"/>
    <mergeCell ref="Q118:Q119"/>
    <mergeCell ref="S118:S119"/>
    <mergeCell ref="D120:D123"/>
    <mergeCell ref="F120:F123"/>
    <mergeCell ref="T120:T123"/>
    <mergeCell ref="Q24:Q25"/>
    <mergeCell ref="G68:G71"/>
    <mergeCell ref="S20:S21"/>
    <mergeCell ref="S108:S109"/>
    <mergeCell ref="T108:T111"/>
    <mergeCell ref="Q110:Q111"/>
    <mergeCell ref="S110:S111"/>
    <mergeCell ref="S44:S45"/>
    <mergeCell ref="T44:T47"/>
    <mergeCell ref="G48:G51"/>
    <mergeCell ref="G52:G55"/>
    <mergeCell ref="S24:S25"/>
    <mergeCell ref="T24:T27"/>
    <mergeCell ref="S26:S27"/>
    <mergeCell ref="Q26:Q27"/>
    <mergeCell ref="Q38:Q39"/>
    <mergeCell ref="S38:S39"/>
    <mergeCell ref="S64:S67"/>
    <mergeCell ref="Q76:Q77"/>
    <mergeCell ref="R56:R59"/>
    <mergeCell ref="R60:R63"/>
    <mergeCell ref="D112:D115"/>
    <mergeCell ref="F112:F115"/>
    <mergeCell ref="Q112:Q113"/>
    <mergeCell ref="S112:S113"/>
    <mergeCell ref="T112:T115"/>
    <mergeCell ref="Q114:Q115"/>
    <mergeCell ref="S114:S115"/>
    <mergeCell ref="E108:E111"/>
    <mergeCell ref="E112:E115"/>
    <mergeCell ref="G108:G111"/>
    <mergeCell ref="G112:G115"/>
    <mergeCell ref="D108:D111"/>
    <mergeCell ref="R108:R111"/>
    <mergeCell ref="R112:R115"/>
    <mergeCell ref="U100:U103"/>
    <mergeCell ref="A104:A107"/>
    <mergeCell ref="B104:B107"/>
    <mergeCell ref="C104:C107"/>
    <mergeCell ref="U104:U107"/>
    <mergeCell ref="U92:U95"/>
    <mergeCell ref="A96:A99"/>
    <mergeCell ref="B96:B99"/>
    <mergeCell ref="C96:C99"/>
    <mergeCell ref="U96:U99"/>
    <mergeCell ref="A100:A103"/>
    <mergeCell ref="B100:B103"/>
    <mergeCell ref="C100:C103"/>
    <mergeCell ref="A92:A95"/>
    <mergeCell ref="B92:B95"/>
    <mergeCell ref="C92:C95"/>
    <mergeCell ref="E104:E107"/>
    <mergeCell ref="G104:G107"/>
    <mergeCell ref="D92:D95"/>
    <mergeCell ref="G96:G99"/>
    <mergeCell ref="T92:T95"/>
    <mergeCell ref="D96:D99"/>
    <mergeCell ref="F96:F99"/>
    <mergeCell ref="A88:A91"/>
    <mergeCell ref="B88:B91"/>
    <mergeCell ref="C88:C91"/>
    <mergeCell ref="U88:U91"/>
    <mergeCell ref="A72:A75"/>
    <mergeCell ref="B72:B75"/>
    <mergeCell ref="C72:C75"/>
    <mergeCell ref="U72:U75"/>
    <mergeCell ref="A76:A79"/>
    <mergeCell ref="B76:B79"/>
    <mergeCell ref="C76:C79"/>
    <mergeCell ref="U76:U79"/>
    <mergeCell ref="A80:A83"/>
    <mergeCell ref="B80:B83"/>
    <mergeCell ref="C80:C83"/>
    <mergeCell ref="A84:A87"/>
    <mergeCell ref="B84:B87"/>
    <mergeCell ref="C84:C87"/>
    <mergeCell ref="U80:U83"/>
    <mergeCell ref="E72:E75"/>
    <mergeCell ref="U84:U87"/>
    <mergeCell ref="E76:E79"/>
    <mergeCell ref="D76:D79"/>
    <mergeCell ref="F76:F79"/>
    <mergeCell ref="A64:A67"/>
    <mergeCell ref="B64:B67"/>
    <mergeCell ref="C64:C67"/>
    <mergeCell ref="C40:C43"/>
    <mergeCell ref="U40:U43"/>
    <mergeCell ref="A60:A63"/>
    <mergeCell ref="B60:B63"/>
    <mergeCell ref="C60:C63"/>
    <mergeCell ref="U60:U63"/>
    <mergeCell ref="C56:C59"/>
    <mergeCell ref="B48:B51"/>
    <mergeCell ref="C48:C51"/>
    <mergeCell ref="B52:B55"/>
    <mergeCell ref="C52:C55"/>
    <mergeCell ref="B56:B59"/>
    <mergeCell ref="A44:A47"/>
    <mergeCell ref="A48:A51"/>
    <mergeCell ref="U48:U51"/>
    <mergeCell ref="U52:U55"/>
    <mergeCell ref="U56:U59"/>
    <mergeCell ref="A52:A55"/>
    <mergeCell ref="A56:A59"/>
    <mergeCell ref="Q44:Q45"/>
    <mergeCell ref="A68:A71"/>
    <mergeCell ref="B68:B71"/>
    <mergeCell ref="C68:C71"/>
    <mergeCell ref="U64:U67"/>
    <mergeCell ref="U68:U71"/>
    <mergeCell ref="E60:E63"/>
    <mergeCell ref="E64:E67"/>
    <mergeCell ref="G60:G63"/>
    <mergeCell ref="G64:G67"/>
    <mergeCell ref="E68:E71"/>
    <mergeCell ref="D60:D63"/>
    <mergeCell ref="F60:F63"/>
    <mergeCell ref="Q60:Q61"/>
    <mergeCell ref="S60:S61"/>
    <mergeCell ref="T60:T63"/>
    <mergeCell ref="Q62:Q63"/>
    <mergeCell ref="S62:S63"/>
    <mergeCell ref="D64:D67"/>
    <mergeCell ref="F64:F67"/>
    <mergeCell ref="T64:T67"/>
    <mergeCell ref="Q64:Q67"/>
    <mergeCell ref="R64:R67"/>
    <mergeCell ref="F32:F35"/>
    <mergeCell ref="Q32:Q33"/>
    <mergeCell ref="B44:B47"/>
    <mergeCell ref="C44:C47"/>
    <mergeCell ref="U44:U47"/>
    <mergeCell ref="C32:C35"/>
    <mergeCell ref="U32:U35"/>
    <mergeCell ref="C36:C39"/>
    <mergeCell ref="U36:U39"/>
    <mergeCell ref="B40:B43"/>
    <mergeCell ref="G40:G43"/>
    <mergeCell ref="G44:G47"/>
    <mergeCell ref="Q34:Q35"/>
    <mergeCell ref="S34:S35"/>
    <mergeCell ref="Q36:Q37"/>
    <mergeCell ref="S32:S33"/>
    <mergeCell ref="G32:G35"/>
    <mergeCell ref="G36:G39"/>
    <mergeCell ref="D44:D47"/>
    <mergeCell ref="F44:F47"/>
    <mergeCell ref="S36:S37"/>
    <mergeCell ref="T36:T39"/>
    <mergeCell ref="U16:U19"/>
    <mergeCell ref="U20:U23"/>
    <mergeCell ref="B12:B15"/>
    <mergeCell ref="B16:B19"/>
    <mergeCell ref="B20:B23"/>
    <mergeCell ref="C12:C15"/>
    <mergeCell ref="C16:C19"/>
    <mergeCell ref="C20:C23"/>
    <mergeCell ref="U12:U15"/>
    <mergeCell ref="D12:D15"/>
    <mergeCell ref="E12:E15"/>
    <mergeCell ref="F12:F15"/>
    <mergeCell ref="S14:S15"/>
    <mergeCell ref="T16:T19"/>
    <mergeCell ref="S22:S23"/>
    <mergeCell ref="T20:T23"/>
    <mergeCell ref="R20:R23"/>
    <mergeCell ref="Q20:Q21"/>
    <mergeCell ref="Q22:Q23"/>
    <mergeCell ref="G12:G15"/>
    <mergeCell ref="G16:G19"/>
    <mergeCell ref="A1:U2"/>
    <mergeCell ref="A4:A7"/>
    <mergeCell ref="B4:B7"/>
    <mergeCell ref="C4:C7"/>
    <mergeCell ref="D4:D7"/>
    <mergeCell ref="E4:E7"/>
    <mergeCell ref="F4:F7"/>
    <mergeCell ref="G4:G7"/>
    <mergeCell ref="Q4:Q5"/>
    <mergeCell ref="Q6:Q7"/>
    <mergeCell ref="S4:S5"/>
    <mergeCell ref="S6:S7"/>
    <mergeCell ref="T4:T7"/>
    <mergeCell ref="U4:U7"/>
    <mergeCell ref="R4:R7"/>
    <mergeCell ref="C28:C31"/>
    <mergeCell ref="E16:E19"/>
    <mergeCell ref="E20:E23"/>
    <mergeCell ref="G20:G23"/>
    <mergeCell ref="A8:A11"/>
    <mergeCell ref="B8:B11"/>
    <mergeCell ref="C8:C11"/>
    <mergeCell ref="D8:D11"/>
    <mergeCell ref="E8:E11"/>
    <mergeCell ref="F8:F11"/>
    <mergeCell ref="D16:D19"/>
    <mergeCell ref="F16:F19"/>
    <mergeCell ref="D20:D23"/>
    <mergeCell ref="F20:F23"/>
    <mergeCell ref="A24:A27"/>
    <mergeCell ref="A20:A23"/>
    <mergeCell ref="A12:A15"/>
    <mergeCell ref="A16:A19"/>
    <mergeCell ref="C24:C27"/>
    <mergeCell ref="G28:G31"/>
    <mergeCell ref="D24:D27"/>
    <mergeCell ref="F24:F27"/>
    <mergeCell ref="G8:G11"/>
    <mergeCell ref="U28:U31"/>
    <mergeCell ref="U24:U27"/>
    <mergeCell ref="T28:T31"/>
    <mergeCell ref="R24:R27"/>
    <mergeCell ref="A28:A31"/>
    <mergeCell ref="A32:A35"/>
    <mergeCell ref="A36:A39"/>
    <mergeCell ref="A40:A43"/>
    <mergeCell ref="E24:E27"/>
    <mergeCell ref="E28:E31"/>
    <mergeCell ref="E32:E35"/>
    <mergeCell ref="E36:E39"/>
    <mergeCell ref="E40:E43"/>
    <mergeCell ref="D28:D31"/>
    <mergeCell ref="F28:F31"/>
    <mergeCell ref="D32:D35"/>
    <mergeCell ref="D36:D39"/>
    <mergeCell ref="F36:F39"/>
    <mergeCell ref="B24:B27"/>
    <mergeCell ref="B28:B31"/>
    <mergeCell ref="B32:B35"/>
    <mergeCell ref="B36:B39"/>
    <mergeCell ref="G24:G27"/>
    <mergeCell ref="D40:D43"/>
    <mergeCell ref="F40:F43"/>
    <mergeCell ref="Q40:Q41"/>
    <mergeCell ref="S40:S41"/>
    <mergeCell ref="T40:T43"/>
    <mergeCell ref="Q42:Q43"/>
    <mergeCell ref="S42:S43"/>
    <mergeCell ref="Q46:Q47"/>
    <mergeCell ref="S46:S47"/>
    <mergeCell ref="D48:D51"/>
    <mergeCell ref="F48:F51"/>
    <mergeCell ref="Q48:Q49"/>
    <mergeCell ref="S48:S49"/>
    <mergeCell ref="E44:E47"/>
    <mergeCell ref="E48:E51"/>
    <mergeCell ref="T48:T51"/>
    <mergeCell ref="Q50:Q51"/>
    <mergeCell ref="S50:S51"/>
    <mergeCell ref="D52:D55"/>
    <mergeCell ref="F52:F55"/>
    <mergeCell ref="Q52:Q53"/>
    <mergeCell ref="S52:S53"/>
    <mergeCell ref="T52:T55"/>
    <mergeCell ref="Q54:Q55"/>
    <mergeCell ref="S54:S55"/>
    <mergeCell ref="E52:E55"/>
    <mergeCell ref="D56:D59"/>
    <mergeCell ref="F56:F59"/>
    <mergeCell ref="Q56:Q57"/>
    <mergeCell ref="S56:S57"/>
    <mergeCell ref="T56:T59"/>
    <mergeCell ref="Q58:Q59"/>
    <mergeCell ref="S58:S59"/>
    <mergeCell ref="E56:E59"/>
    <mergeCell ref="G56:G59"/>
    <mergeCell ref="D68:D71"/>
    <mergeCell ref="F68:F71"/>
    <mergeCell ref="Q68:Q69"/>
    <mergeCell ref="S68:S69"/>
    <mergeCell ref="T68:T71"/>
    <mergeCell ref="Q70:Q71"/>
    <mergeCell ref="S70:S71"/>
    <mergeCell ref="D72:D75"/>
    <mergeCell ref="F72:F75"/>
    <mergeCell ref="Q72:Q73"/>
    <mergeCell ref="S72:S73"/>
    <mergeCell ref="T72:T75"/>
    <mergeCell ref="Q74:Q75"/>
    <mergeCell ref="S74:S75"/>
    <mergeCell ref="R68:R71"/>
    <mergeCell ref="R72:R75"/>
    <mergeCell ref="S76:S77"/>
    <mergeCell ref="T76:T79"/>
    <mergeCell ref="Q78:Q79"/>
    <mergeCell ref="S78:S79"/>
    <mergeCell ref="D80:D83"/>
    <mergeCell ref="F80:F83"/>
    <mergeCell ref="Q80:Q81"/>
    <mergeCell ref="S80:S81"/>
    <mergeCell ref="T80:T83"/>
    <mergeCell ref="Q82:Q83"/>
    <mergeCell ref="S82:S83"/>
    <mergeCell ref="E80:E83"/>
    <mergeCell ref="R76:R79"/>
    <mergeCell ref="R80:R83"/>
    <mergeCell ref="D84:D87"/>
    <mergeCell ref="F84:F87"/>
    <mergeCell ref="Q84:Q85"/>
    <mergeCell ref="S84:S85"/>
    <mergeCell ref="T84:T87"/>
    <mergeCell ref="Q86:Q87"/>
    <mergeCell ref="S86:S87"/>
    <mergeCell ref="E84:E87"/>
    <mergeCell ref="R84:R87"/>
    <mergeCell ref="D88:D91"/>
    <mergeCell ref="F88:F91"/>
    <mergeCell ref="Q88:Q89"/>
    <mergeCell ref="S88:S89"/>
    <mergeCell ref="T88:T91"/>
    <mergeCell ref="Q90:Q91"/>
    <mergeCell ref="S90:S91"/>
    <mergeCell ref="E88:E91"/>
    <mergeCell ref="R88:R91"/>
    <mergeCell ref="T96:T99"/>
    <mergeCell ref="Q98:Q99"/>
    <mergeCell ref="S98:S99"/>
    <mergeCell ref="E92:E95"/>
    <mergeCell ref="E96:E99"/>
    <mergeCell ref="F92:F95"/>
    <mergeCell ref="D100:D103"/>
    <mergeCell ref="F100:F103"/>
    <mergeCell ref="Q100:Q101"/>
    <mergeCell ref="S100:S101"/>
    <mergeCell ref="T100:T103"/>
    <mergeCell ref="Q102:Q103"/>
    <mergeCell ref="S102:S103"/>
    <mergeCell ref="E100:E103"/>
    <mergeCell ref="G100:G103"/>
    <mergeCell ref="R100:R103"/>
    <mergeCell ref="R96:R99"/>
    <mergeCell ref="D104:D107"/>
    <mergeCell ref="F104:F107"/>
    <mergeCell ref="Q104:Q105"/>
    <mergeCell ref="S104:S105"/>
    <mergeCell ref="T104:T107"/>
    <mergeCell ref="Q106:Q107"/>
    <mergeCell ref="S106:S107"/>
    <mergeCell ref="R104:R107"/>
  </mergeCells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B225"/>
  <sheetViews>
    <sheetView zoomScale="71" zoomScaleNormal="71" workbookViewId="0">
      <pane xSplit="7" ySplit="3" topLeftCell="H4" activePane="bottomRight" state="frozen"/>
      <selection pane="topRight" activeCell="H1" sqref="H1"/>
      <selection pane="bottomLeft" activeCell="A4" sqref="A4"/>
      <selection pane="bottomRight" activeCell="J14" sqref="J14"/>
    </sheetView>
  </sheetViews>
  <sheetFormatPr defaultRowHeight="14.4" x14ac:dyDescent="0.3"/>
  <cols>
    <col min="1" max="1" width="20.109375" bestFit="1" customWidth="1"/>
    <col min="2" max="2" width="6.77734375" bestFit="1" customWidth="1"/>
    <col min="3" max="3" width="5.33203125" bestFit="1" customWidth="1"/>
    <col min="4" max="4" width="6.33203125" customWidth="1"/>
    <col min="5" max="5" width="9.5546875" bestFit="1" customWidth="1"/>
    <col min="6" max="6" width="6.21875" bestFit="1" customWidth="1"/>
    <col min="7" max="7" width="8.88671875" style="124"/>
    <col min="8" max="8" width="11.6640625" customWidth="1"/>
    <col min="9" max="9" width="20.77734375" customWidth="1"/>
    <col min="10" max="10" width="30.77734375" style="205" customWidth="1"/>
    <col min="11" max="11" width="15.6640625" bestFit="1" customWidth="1"/>
    <col min="12" max="12" width="8.6640625" customWidth="1"/>
    <col min="13" max="13" width="5.88671875" bestFit="1" customWidth="1"/>
    <col min="14" max="14" width="6.21875" bestFit="1" customWidth="1"/>
    <col min="15" max="15" width="9.109375" customWidth="1"/>
    <col min="16" max="16" width="7.6640625" bestFit="1" customWidth="1"/>
    <col min="17" max="17" width="11.77734375" bestFit="1" customWidth="1"/>
    <col min="18" max="18" width="12.33203125" bestFit="1" customWidth="1"/>
    <col min="19" max="19" width="7.88671875" bestFit="1" customWidth="1"/>
    <col min="20" max="20" width="24.88671875" customWidth="1"/>
    <col min="21" max="22" width="7.33203125" customWidth="1"/>
    <col min="23" max="23" width="18.6640625" bestFit="1" customWidth="1"/>
    <col min="25" max="25" width="10.33203125" customWidth="1"/>
    <col min="26" max="26" width="12.5546875" bestFit="1" customWidth="1"/>
    <col min="28" max="28" width="88.44140625" customWidth="1"/>
  </cols>
  <sheetData>
    <row r="1" spans="1:28" x14ac:dyDescent="0.3">
      <c r="A1" s="127" t="s">
        <v>37</v>
      </c>
      <c r="B1" s="128"/>
      <c r="C1" s="128"/>
      <c r="D1" s="128"/>
      <c r="E1" s="128"/>
      <c r="F1" s="128"/>
      <c r="G1" s="128"/>
      <c r="H1" s="128"/>
      <c r="I1" s="128"/>
      <c r="J1" s="128"/>
      <c r="K1" s="128"/>
      <c r="L1" s="128"/>
      <c r="M1" s="128"/>
      <c r="N1" s="128"/>
      <c r="O1" s="128"/>
      <c r="P1" s="128"/>
      <c r="Q1" s="128"/>
      <c r="R1" s="128"/>
      <c r="S1" s="128"/>
      <c r="T1" s="128"/>
      <c r="U1" s="128"/>
      <c r="V1" s="128"/>
      <c r="W1" s="128"/>
      <c r="X1" s="128"/>
      <c r="Y1" s="128"/>
      <c r="Z1" s="129"/>
    </row>
    <row r="2" spans="1:28" x14ac:dyDescent="0.3">
      <c r="A2" s="130"/>
      <c r="B2" s="131"/>
      <c r="C2" s="131"/>
      <c r="D2" s="131"/>
      <c r="E2" s="131"/>
      <c r="F2" s="131"/>
      <c r="G2" s="131"/>
      <c r="H2" s="131"/>
      <c r="I2" s="131"/>
      <c r="J2" s="131"/>
      <c r="K2" s="131"/>
      <c r="L2" s="131"/>
      <c r="M2" s="131"/>
      <c r="N2" s="131"/>
      <c r="O2" s="131"/>
      <c r="P2" s="131"/>
      <c r="Q2" s="131"/>
      <c r="R2" s="131"/>
      <c r="S2" s="131"/>
      <c r="T2" s="131"/>
      <c r="U2" s="131"/>
      <c r="V2" s="131"/>
      <c r="W2" s="131"/>
      <c r="X2" s="131"/>
      <c r="Y2" s="131"/>
      <c r="Z2" s="132"/>
    </row>
    <row r="3" spans="1:28" ht="24.6" thickBot="1" x14ac:dyDescent="0.35">
      <c r="A3" s="133" t="s">
        <v>0</v>
      </c>
      <c r="B3" s="134" t="s">
        <v>1</v>
      </c>
      <c r="C3" s="134" t="s">
        <v>2</v>
      </c>
      <c r="D3" s="134" t="s">
        <v>11</v>
      </c>
      <c r="E3" s="135" t="s">
        <v>12</v>
      </c>
      <c r="F3" s="134" t="s">
        <v>13</v>
      </c>
      <c r="G3" s="134" t="s">
        <v>14</v>
      </c>
      <c r="H3" s="134" t="s">
        <v>18</v>
      </c>
      <c r="I3" s="206" t="s">
        <v>36</v>
      </c>
      <c r="J3" s="200" t="s">
        <v>6</v>
      </c>
      <c r="K3" s="135" t="s">
        <v>15</v>
      </c>
      <c r="L3" s="134" t="s">
        <v>24</v>
      </c>
      <c r="M3" s="133" t="s">
        <v>25</v>
      </c>
      <c r="N3" s="133" t="s">
        <v>26</v>
      </c>
      <c r="O3" s="134" t="s">
        <v>10</v>
      </c>
      <c r="P3" s="136" t="s">
        <v>33</v>
      </c>
      <c r="Q3" s="136" t="s">
        <v>34</v>
      </c>
      <c r="R3" s="136" t="s">
        <v>35</v>
      </c>
      <c r="S3" s="136" t="s">
        <v>7</v>
      </c>
      <c r="T3" s="137" t="s">
        <v>21</v>
      </c>
      <c r="U3" s="137" t="s">
        <v>3</v>
      </c>
      <c r="V3" s="137" t="s">
        <v>32</v>
      </c>
      <c r="W3" s="137" t="s">
        <v>8</v>
      </c>
      <c r="X3" s="137" t="s">
        <v>3</v>
      </c>
      <c r="Y3" s="137" t="s">
        <v>31</v>
      </c>
      <c r="Z3" s="133" t="s">
        <v>5</v>
      </c>
      <c r="AB3" s="125" t="s">
        <v>29</v>
      </c>
    </row>
    <row r="4" spans="1:28" ht="24" x14ac:dyDescent="0.3">
      <c r="A4" s="138">
        <v>44013</v>
      </c>
      <c r="B4" s="139">
        <v>0.45833333333333331</v>
      </c>
      <c r="C4" s="139">
        <v>0.5</v>
      </c>
      <c r="D4" s="139">
        <f>SUM(C4-B4)</f>
        <v>4.1666666666666685E-2</v>
      </c>
      <c r="E4" s="140">
        <f>SUM(D4)</f>
        <v>4.1666666666666685E-2</v>
      </c>
      <c r="F4" s="141">
        <v>1500</v>
      </c>
      <c r="G4" s="142">
        <f>PRODUCT(E4,36000)</f>
        <v>1500.0000000000007</v>
      </c>
      <c r="H4" s="143"/>
      <c r="I4" s="144"/>
      <c r="J4" s="201" t="s">
        <v>27</v>
      </c>
      <c r="K4" s="146" t="s">
        <v>28</v>
      </c>
      <c r="L4" s="147">
        <v>13200</v>
      </c>
      <c r="M4" s="147">
        <v>3</v>
      </c>
      <c r="N4" s="148">
        <f>SUMPRODUCT(L4,M4)</f>
        <v>39600</v>
      </c>
      <c r="O4" s="149">
        <f>SUM(N4:N10)</f>
        <v>39600</v>
      </c>
      <c r="P4" s="150"/>
      <c r="Q4" s="150"/>
      <c r="R4" s="150"/>
      <c r="S4" s="150"/>
      <c r="T4" s="146"/>
      <c r="U4" s="147">
        <v>0</v>
      </c>
      <c r="V4" s="151">
        <f>U4:U10</f>
        <v>0</v>
      </c>
      <c r="W4" s="146" t="s">
        <v>4</v>
      </c>
      <c r="X4" s="147">
        <v>60000</v>
      </c>
      <c r="Y4" s="152">
        <f>X4:X10</f>
        <v>60000</v>
      </c>
      <c r="Z4" s="153">
        <f>G4+O4+V4-Y4</f>
        <v>-18900</v>
      </c>
      <c r="AB4" s="125" t="s">
        <v>30</v>
      </c>
    </row>
    <row r="5" spans="1:28" x14ac:dyDescent="0.3">
      <c r="A5" s="154"/>
      <c r="B5" s="155"/>
      <c r="C5" s="155"/>
      <c r="D5" s="155"/>
      <c r="E5" s="156"/>
      <c r="F5" s="157"/>
      <c r="G5" s="158"/>
      <c r="H5" s="159"/>
      <c r="I5" s="160"/>
      <c r="J5" s="202"/>
      <c r="K5" s="162"/>
      <c r="L5" s="163">
        <v>0</v>
      </c>
      <c r="M5" s="163">
        <v>0</v>
      </c>
      <c r="N5" s="164">
        <f>SUMPRODUCT(L5,M5)</f>
        <v>0</v>
      </c>
      <c r="O5" s="165"/>
      <c r="P5" s="166"/>
      <c r="Q5" s="166"/>
      <c r="R5" s="166"/>
      <c r="S5" s="166"/>
      <c r="T5" s="162"/>
      <c r="U5" s="163">
        <v>0</v>
      </c>
      <c r="V5" s="167"/>
      <c r="W5" s="162"/>
      <c r="X5" s="163">
        <v>0</v>
      </c>
      <c r="Y5" s="168"/>
      <c r="Z5" s="169"/>
    </row>
    <row r="6" spans="1:28" x14ac:dyDescent="0.3">
      <c r="A6" s="154"/>
      <c r="B6" s="155"/>
      <c r="C6" s="155"/>
      <c r="D6" s="155"/>
      <c r="E6" s="156"/>
      <c r="F6" s="157"/>
      <c r="G6" s="158"/>
      <c r="H6" s="159"/>
      <c r="I6" s="160"/>
      <c r="J6" s="202"/>
      <c r="K6" s="162"/>
      <c r="L6" s="163">
        <v>0</v>
      </c>
      <c r="M6" s="163">
        <v>0</v>
      </c>
      <c r="N6" s="164">
        <f>SUMPRODUCT(L6,M6)</f>
        <v>0</v>
      </c>
      <c r="O6" s="165"/>
      <c r="P6" s="166"/>
      <c r="Q6" s="166"/>
      <c r="R6" s="166"/>
      <c r="S6" s="166"/>
      <c r="T6" s="162"/>
      <c r="U6" s="163">
        <v>0</v>
      </c>
      <c r="V6" s="167"/>
      <c r="W6" s="162"/>
      <c r="X6" s="163">
        <v>0</v>
      </c>
      <c r="Y6" s="168"/>
      <c r="Z6" s="169"/>
    </row>
    <row r="7" spans="1:28" x14ac:dyDescent="0.3">
      <c r="A7" s="154"/>
      <c r="B7" s="155"/>
      <c r="C7" s="155"/>
      <c r="D7" s="155"/>
      <c r="E7" s="156"/>
      <c r="F7" s="157"/>
      <c r="G7" s="158"/>
      <c r="H7" s="159"/>
      <c r="I7" s="160"/>
      <c r="J7" s="202"/>
      <c r="K7" s="162"/>
      <c r="L7" s="163">
        <v>0</v>
      </c>
      <c r="M7" s="163">
        <v>0</v>
      </c>
      <c r="N7" s="164">
        <f>SUMPRODUCT(L7,M7)</f>
        <v>0</v>
      </c>
      <c r="O7" s="165"/>
      <c r="P7" s="166"/>
      <c r="Q7" s="166"/>
      <c r="R7" s="166"/>
      <c r="S7" s="166"/>
      <c r="T7" s="162"/>
      <c r="U7" s="163">
        <v>0</v>
      </c>
      <c r="V7" s="167"/>
      <c r="W7" s="162"/>
      <c r="X7" s="163">
        <v>0</v>
      </c>
      <c r="Y7" s="168"/>
      <c r="Z7" s="170"/>
    </row>
    <row r="8" spans="1:28" x14ac:dyDescent="0.3">
      <c r="A8" s="154"/>
      <c r="B8" s="155"/>
      <c r="C8" s="155"/>
      <c r="D8" s="155"/>
      <c r="E8" s="156"/>
      <c r="F8" s="157"/>
      <c r="G8" s="158"/>
      <c r="H8" s="159"/>
      <c r="I8" s="160"/>
      <c r="J8" s="202"/>
      <c r="K8" s="162"/>
      <c r="L8" s="163">
        <v>0</v>
      </c>
      <c r="M8" s="163">
        <v>0</v>
      </c>
      <c r="N8" s="164">
        <f>SUMPRODUCT(L8,M8)</f>
        <v>0</v>
      </c>
      <c r="O8" s="165"/>
      <c r="P8" s="166"/>
      <c r="Q8" s="166"/>
      <c r="R8" s="166"/>
      <c r="S8" s="166"/>
      <c r="T8" s="162"/>
      <c r="U8" s="163">
        <v>0</v>
      </c>
      <c r="V8" s="167"/>
      <c r="W8" s="162"/>
      <c r="X8" s="163">
        <v>0</v>
      </c>
      <c r="Y8" s="168"/>
      <c r="Z8" s="170"/>
    </row>
    <row r="9" spans="1:28" x14ac:dyDescent="0.3">
      <c r="A9" s="154"/>
      <c r="B9" s="155"/>
      <c r="C9" s="155"/>
      <c r="D9" s="155"/>
      <c r="E9" s="156"/>
      <c r="F9" s="157"/>
      <c r="G9" s="158"/>
      <c r="H9" s="159"/>
      <c r="I9" s="160"/>
      <c r="J9" s="202"/>
      <c r="K9" s="162"/>
      <c r="L9" s="163">
        <v>0</v>
      </c>
      <c r="M9" s="163">
        <v>0</v>
      </c>
      <c r="N9" s="164">
        <f>SUMPRODUCT(L9,M9)</f>
        <v>0</v>
      </c>
      <c r="O9" s="165"/>
      <c r="P9" s="166"/>
      <c r="Q9" s="166"/>
      <c r="R9" s="166"/>
      <c r="S9" s="166"/>
      <c r="T9" s="160"/>
      <c r="U9" s="163">
        <v>0</v>
      </c>
      <c r="V9" s="167"/>
      <c r="W9" s="160"/>
      <c r="X9" s="163">
        <v>0</v>
      </c>
      <c r="Y9" s="168"/>
      <c r="Z9" s="170"/>
    </row>
    <row r="10" spans="1:28" ht="15" thickBot="1" x14ac:dyDescent="0.35">
      <c r="A10" s="171"/>
      <c r="B10" s="172"/>
      <c r="C10" s="172"/>
      <c r="D10" s="172"/>
      <c r="E10" s="173"/>
      <c r="F10" s="174"/>
      <c r="G10" s="175"/>
      <c r="H10" s="176"/>
      <c r="I10" s="160"/>
      <c r="J10" s="202"/>
      <c r="K10" s="162"/>
      <c r="L10" s="163">
        <v>0</v>
      </c>
      <c r="M10" s="163">
        <v>0</v>
      </c>
      <c r="N10" s="164">
        <f>SUMPRODUCT(L10,M10)</f>
        <v>0</v>
      </c>
      <c r="O10" s="177"/>
      <c r="P10" s="178"/>
      <c r="Q10" s="178"/>
      <c r="R10" s="178"/>
      <c r="S10" s="178"/>
      <c r="T10" s="179"/>
      <c r="U10" s="180">
        <v>0</v>
      </c>
      <c r="V10" s="181"/>
      <c r="W10" s="179"/>
      <c r="X10" s="180">
        <v>0</v>
      </c>
      <c r="Y10" s="182"/>
      <c r="Z10" s="183"/>
    </row>
    <row r="11" spans="1:28" ht="15.6" x14ac:dyDescent="0.3">
      <c r="A11" s="138">
        <v>44014</v>
      </c>
      <c r="B11" s="139">
        <v>0.45833333333333331</v>
      </c>
      <c r="C11" s="139">
        <v>0.5</v>
      </c>
      <c r="D11" s="139">
        <f>SUM(C11-B11)</f>
        <v>4.1666666666666685E-2</v>
      </c>
      <c r="E11" s="140">
        <f>SUM(D11)</f>
        <v>4.1666666666666685E-2</v>
      </c>
      <c r="F11" s="141">
        <v>1500</v>
      </c>
      <c r="G11" s="142">
        <f>PRODUCT(E11,36000)</f>
        <v>1500.0000000000007</v>
      </c>
      <c r="H11" s="143"/>
      <c r="I11" s="144"/>
      <c r="J11" s="201"/>
      <c r="K11" s="146" t="s">
        <v>28</v>
      </c>
      <c r="L11" s="147">
        <v>13200</v>
      </c>
      <c r="M11" s="147">
        <v>3</v>
      </c>
      <c r="N11" s="148">
        <f>SUMPRODUCT(L11,M11)</f>
        <v>39600</v>
      </c>
      <c r="O11" s="149">
        <f>SUM(N11:N17)</f>
        <v>39600</v>
      </c>
      <c r="P11" s="150"/>
      <c r="Q11" s="150"/>
      <c r="R11" s="150"/>
      <c r="S11" s="150"/>
      <c r="T11" s="146"/>
      <c r="U11" s="147">
        <v>0</v>
      </c>
      <c r="V11" s="151">
        <f>U11:U17</f>
        <v>0</v>
      </c>
      <c r="W11" s="146" t="s">
        <v>4</v>
      </c>
      <c r="X11" s="147">
        <v>60000</v>
      </c>
      <c r="Y11" s="152">
        <f>X11:X17</f>
        <v>60000</v>
      </c>
      <c r="Z11" s="153">
        <f>G11+O11+V11-Y11</f>
        <v>-18900</v>
      </c>
      <c r="AB11" s="126"/>
    </row>
    <row r="12" spans="1:28" x14ac:dyDescent="0.3">
      <c r="A12" s="154"/>
      <c r="B12" s="155"/>
      <c r="C12" s="155"/>
      <c r="D12" s="155"/>
      <c r="E12" s="156"/>
      <c r="F12" s="157"/>
      <c r="G12" s="158"/>
      <c r="H12" s="159"/>
      <c r="I12" s="160"/>
      <c r="J12" s="202"/>
      <c r="K12" s="162"/>
      <c r="L12" s="163">
        <v>0</v>
      </c>
      <c r="M12" s="163">
        <v>0</v>
      </c>
      <c r="N12" s="164">
        <f>SUMPRODUCT(L12,M12)</f>
        <v>0</v>
      </c>
      <c r="O12" s="165"/>
      <c r="P12" s="166"/>
      <c r="Q12" s="166"/>
      <c r="R12" s="166"/>
      <c r="S12" s="166"/>
      <c r="T12" s="162"/>
      <c r="U12" s="163">
        <v>0</v>
      </c>
      <c r="V12" s="167"/>
      <c r="W12" s="162"/>
      <c r="X12" s="163">
        <v>0</v>
      </c>
      <c r="Y12" s="168"/>
      <c r="Z12" s="169"/>
    </row>
    <row r="13" spans="1:28" x14ac:dyDescent="0.3">
      <c r="A13" s="154"/>
      <c r="B13" s="155"/>
      <c r="C13" s="155"/>
      <c r="D13" s="155"/>
      <c r="E13" s="156"/>
      <c r="F13" s="157"/>
      <c r="G13" s="158"/>
      <c r="H13" s="159"/>
      <c r="I13" s="160"/>
      <c r="J13" s="202"/>
      <c r="K13" s="162"/>
      <c r="L13" s="163">
        <v>0</v>
      </c>
      <c r="M13" s="163">
        <v>0</v>
      </c>
      <c r="N13" s="164">
        <f>SUMPRODUCT(L13,M13)</f>
        <v>0</v>
      </c>
      <c r="O13" s="165"/>
      <c r="P13" s="166"/>
      <c r="Q13" s="166"/>
      <c r="R13" s="166"/>
      <c r="S13" s="166"/>
      <c r="T13" s="162"/>
      <c r="U13" s="163">
        <v>0</v>
      </c>
      <c r="V13" s="167"/>
      <c r="W13" s="162"/>
      <c r="X13" s="163">
        <v>0</v>
      </c>
      <c r="Y13" s="168"/>
      <c r="Z13" s="169"/>
    </row>
    <row r="14" spans="1:28" x14ac:dyDescent="0.3">
      <c r="A14" s="154"/>
      <c r="B14" s="155"/>
      <c r="C14" s="155"/>
      <c r="D14" s="155"/>
      <c r="E14" s="156"/>
      <c r="F14" s="157"/>
      <c r="G14" s="158"/>
      <c r="H14" s="159"/>
      <c r="I14" s="160"/>
      <c r="J14" s="202"/>
      <c r="K14" s="162"/>
      <c r="L14" s="163">
        <v>0</v>
      </c>
      <c r="M14" s="163">
        <v>0</v>
      </c>
      <c r="N14" s="164">
        <f>SUMPRODUCT(L14,M14)</f>
        <v>0</v>
      </c>
      <c r="O14" s="165"/>
      <c r="P14" s="166"/>
      <c r="Q14" s="166"/>
      <c r="R14" s="166"/>
      <c r="S14" s="166"/>
      <c r="T14" s="162"/>
      <c r="U14" s="163">
        <v>0</v>
      </c>
      <c r="V14" s="167"/>
      <c r="W14" s="162"/>
      <c r="X14" s="163">
        <v>0</v>
      </c>
      <c r="Y14" s="168"/>
      <c r="Z14" s="170"/>
    </row>
    <row r="15" spans="1:28" x14ac:dyDescent="0.3">
      <c r="A15" s="154"/>
      <c r="B15" s="155"/>
      <c r="C15" s="155"/>
      <c r="D15" s="155"/>
      <c r="E15" s="156"/>
      <c r="F15" s="157"/>
      <c r="G15" s="158"/>
      <c r="H15" s="159"/>
      <c r="I15" s="160"/>
      <c r="J15" s="202"/>
      <c r="K15" s="162"/>
      <c r="L15" s="163">
        <v>0</v>
      </c>
      <c r="M15" s="163">
        <v>0</v>
      </c>
      <c r="N15" s="164">
        <f>SUMPRODUCT(L15,M15)</f>
        <v>0</v>
      </c>
      <c r="O15" s="165"/>
      <c r="P15" s="166"/>
      <c r="Q15" s="166"/>
      <c r="R15" s="166"/>
      <c r="S15" s="166"/>
      <c r="T15" s="162"/>
      <c r="U15" s="163">
        <v>0</v>
      </c>
      <c r="V15" s="167"/>
      <c r="W15" s="162"/>
      <c r="X15" s="163">
        <v>0</v>
      </c>
      <c r="Y15" s="168"/>
      <c r="Z15" s="170"/>
    </row>
    <row r="16" spans="1:28" x14ac:dyDescent="0.3">
      <c r="A16" s="154"/>
      <c r="B16" s="155"/>
      <c r="C16" s="155"/>
      <c r="D16" s="155"/>
      <c r="E16" s="156"/>
      <c r="F16" s="157"/>
      <c r="G16" s="158"/>
      <c r="H16" s="159"/>
      <c r="I16" s="160"/>
      <c r="J16" s="202"/>
      <c r="K16" s="162"/>
      <c r="L16" s="163">
        <v>0</v>
      </c>
      <c r="M16" s="163">
        <v>0</v>
      </c>
      <c r="N16" s="164">
        <f>SUMPRODUCT(L16,M16)</f>
        <v>0</v>
      </c>
      <c r="O16" s="165"/>
      <c r="P16" s="166"/>
      <c r="Q16" s="166"/>
      <c r="R16" s="166"/>
      <c r="S16" s="166"/>
      <c r="T16" s="160"/>
      <c r="U16" s="163">
        <v>0</v>
      </c>
      <c r="V16" s="167"/>
      <c r="W16" s="160"/>
      <c r="X16" s="163">
        <v>0</v>
      </c>
      <c r="Y16" s="168"/>
      <c r="Z16" s="170"/>
    </row>
    <row r="17" spans="1:28" ht="15" thickBot="1" x14ac:dyDescent="0.35">
      <c r="A17" s="171"/>
      <c r="B17" s="172"/>
      <c r="C17" s="172"/>
      <c r="D17" s="172"/>
      <c r="E17" s="173"/>
      <c r="F17" s="174"/>
      <c r="G17" s="175"/>
      <c r="H17" s="176"/>
      <c r="I17" s="160"/>
      <c r="J17" s="202"/>
      <c r="K17" s="162"/>
      <c r="L17" s="163">
        <v>0</v>
      </c>
      <c r="M17" s="163">
        <v>0</v>
      </c>
      <c r="N17" s="164">
        <f>SUMPRODUCT(L17,M17)</f>
        <v>0</v>
      </c>
      <c r="O17" s="177"/>
      <c r="P17" s="178"/>
      <c r="Q17" s="178"/>
      <c r="R17" s="178"/>
      <c r="S17" s="178"/>
      <c r="T17" s="179"/>
      <c r="U17" s="180">
        <v>0</v>
      </c>
      <c r="V17" s="181"/>
      <c r="W17" s="179"/>
      <c r="X17" s="180">
        <v>0</v>
      </c>
      <c r="Y17" s="182"/>
      <c r="Z17" s="183"/>
    </row>
    <row r="18" spans="1:28" ht="15.6" x14ac:dyDescent="0.3">
      <c r="A18" s="138">
        <v>44015</v>
      </c>
      <c r="B18" s="139">
        <v>0.45833333333333331</v>
      </c>
      <c r="C18" s="139">
        <v>0.5</v>
      </c>
      <c r="D18" s="139">
        <f>SUM(C18-B18)</f>
        <v>4.1666666666666685E-2</v>
      </c>
      <c r="E18" s="140">
        <f>SUM(D18)</f>
        <v>4.1666666666666685E-2</v>
      </c>
      <c r="F18" s="141">
        <v>1500</v>
      </c>
      <c r="G18" s="142">
        <f>PRODUCT(E18,36000)</f>
        <v>1500.0000000000007</v>
      </c>
      <c r="H18" s="143"/>
      <c r="I18" s="144"/>
      <c r="J18" s="201"/>
      <c r="K18" s="146" t="s">
        <v>28</v>
      </c>
      <c r="L18" s="147">
        <v>13200</v>
      </c>
      <c r="M18" s="147">
        <v>3</v>
      </c>
      <c r="N18" s="148">
        <f>SUMPRODUCT(L18,M18)</f>
        <v>39600</v>
      </c>
      <c r="O18" s="149">
        <f>SUM(N18:N24)</f>
        <v>39600</v>
      </c>
      <c r="P18" s="150"/>
      <c r="Q18" s="150"/>
      <c r="R18" s="150"/>
      <c r="S18" s="150"/>
      <c r="T18" s="146"/>
      <c r="U18" s="147">
        <v>0</v>
      </c>
      <c r="V18" s="151">
        <f>U18:U24</f>
        <v>0</v>
      </c>
      <c r="W18" s="146" t="s">
        <v>4</v>
      </c>
      <c r="X18" s="147">
        <v>60000</v>
      </c>
      <c r="Y18" s="152">
        <f>X18:X24</f>
        <v>60000</v>
      </c>
      <c r="Z18" s="153">
        <f>G18+O18+V18-Y18</f>
        <v>-18900</v>
      </c>
      <c r="AB18" s="126"/>
    </row>
    <row r="19" spans="1:28" x14ac:dyDescent="0.3">
      <c r="A19" s="154"/>
      <c r="B19" s="155"/>
      <c r="C19" s="155"/>
      <c r="D19" s="155"/>
      <c r="E19" s="156"/>
      <c r="F19" s="157"/>
      <c r="G19" s="158"/>
      <c r="H19" s="159"/>
      <c r="I19" s="160"/>
      <c r="J19" s="202"/>
      <c r="K19" s="162"/>
      <c r="L19" s="163">
        <v>0</v>
      </c>
      <c r="M19" s="163">
        <v>0</v>
      </c>
      <c r="N19" s="164">
        <f>SUMPRODUCT(L19,M19)</f>
        <v>0</v>
      </c>
      <c r="O19" s="165"/>
      <c r="P19" s="166"/>
      <c r="Q19" s="166"/>
      <c r="R19" s="166"/>
      <c r="S19" s="166"/>
      <c r="T19" s="162"/>
      <c r="U19" s="163">
        <v>0</v>
      </c>
      <c r="V19" s="167"/>
      <c r="W19" s="162"/>
      <c r="X19" s="163">
        <v>0</v>
      </c>
      <c r="Y19" s="168"/>
      <c r="Z19" s="169"/>
    </row>
    <row r="20" spans="1:28" x14ac:dyDescent="0.3">
      <c r="A20" s="154"/>
      <c r="B20" s="155"/>
      <c r="C20" s="155"/>
      <c r="D20" s="155"/>
      <c r="E20" s="156"/>
      <c r="F20" s="157"/>
      <c r="G20" s="158"/>
      <c r="H20" s="159"/>
      <c r="I20" s="160"/>
      <c r="J20" s="202"/>
      <c r="K20" s="162"/>
      <c r="L20" s="163">
        <v>0</v>
      </c>
      <c r="M20" s="163">
        <v>0</v>
      </c>
      <c r="N20" s="164">
        <f>SUMPRODUCT(L20,M20)</f>
        <v>0</v>
      </c>
      <c r="O20" s="165"/>
      <c r="P20" s="166"/>
      <c r="Q20" s="166"/>
      <c r="R20" s="166"/>
      <c r="S20" s="166"/>
      <c r="T20" s="162"/>
      <c r="U20" s="163">
        <v>0</v>
      </c>
      <c r="V20" s="167"/>
      <c r="W20" s="162"/>
      <c r="X20" s="163">
        <v>0</v>
      </c>
      <c r="Y20" s="168"/>
      <c r="Z20" s="169"/>
    </row>
    <row r="21" spans="1:28" x14ac:dyDescent="0.3">
      <c r="A21" s="154"/>
      <c r="B21" s="155"/>
      <c r="C21" s="155"/>
      <c r="D21" s="155"/>
      <c r="E21" s="156"/>
      <c r="F21" s="157"/>
      <c r="G21" s="158"/>
      <c r="H21" s="159"/>
      <c r="I21" s="160"/>
      <c r="J21" s="202"/>
      <c r="K21" s="162"/>
      <c r="L21" s="163">
        <v>0</v>
      </c>
      <c r="M21" s="163">
        <v>0</v>
      </c>
      <c r="N21" s="164">
        <f>SUMPRODUCT(L21,M21)</f>
        <v>0</v>
      </c>
      <c r="O21" s="165"/>
      <c r="P21" s="166"/>
      <c r="Q21" s="166"/>
      <c r="R21" s="166"/>
      <c r="S21" s="166"/>
      <c r="T21" s="162"/>
      <c r="U21" s="163">
        <v>0</v>
      </c>
      <c r="V21" s="167"/>
      <c r="W21" s="162"/>
      <c r="X21" s="163">
        <v>0</v>
      </c>
      <c r="Y21" s="168"/>
      <c r="Z21" s="170"/>
    </row>
    <row r="22" spans="1:28" x14ac:dyDescent="0.3">
      <c r="A22" s="154"/>
      <c r="B22" s="155"/>
      <c r="C22" s="155"/>
      <c r="D22" s="155"/>
      <c r="E22" s="156"/>
      <c r="F22" s="157"/>
      <c r="G22" s="158"/>
      <c r="H22" s="159"/>
      <c r="I22" s="160"/>
      <c r="J22" s="202"/>
      <c r="K22" s="162"/>
      <c r="L22" s="163">
        <v>0</v>
      </c>
      <c r="M22" s="163">
        <v>0</v>
      </c>
      <c r="N22" s="164">
        <f>SUMPRODUCT(L22,M22)</f>
        <v>0</v>
      </c>
      <c r="O22" s="165"/>
      <c r="P22" s="166"/>
      <c r="Q22" s="166"/>
      <c r="R22" s="166"/>
      <c r="S22" s="166"/>
      <c r="T22" s="162"/>
      <c r="U22" s="163">
        <v>0</v>
      </c>
      <c r="V22" s="167"/>
      <c r="W22" s="162"/>
      <c r="X22" s="163">
        <v>0</v>
      </c>
      <c r="Y22" s="168"/>
      <c r="Z22" s="170"/>
    </row>
    <row r="23" spans="1:28" x14ac:dyDescent="0.3">
      <c r="A23" s="154"/>
      <c r="B23" s="155"/>
      <c r="C23" s="155"/>
      <c r="D23" s="155"/>
      <c r="E23" s="156"/>
      <c r="F23" s="157"/>
      <c r="G23" s="158"/>
      <c r="H23" s="159"/>
      <c r="I23" s="160"/>
      <c r="J23" s="202"/>
      <c r="K23" s="162"/>
      <c r="L23" s="163">
        <v>0</v>
      </c>
      <c r="M23" s="163">
        <v>0</v>
      </c>
      <c r="N23" s="164">
        <f>SUMPRODUCT(L23,M23)</f>
        <v>0</v>
      </c>
      <c r="O23" s="165"/>
      <c r="P23" s="166"/>
      <c r="Q23" s="166"/>
      <c r="R23" s="166"/>
      <c r="S23" s="166"/>
      <c r="T23" s="160"/>
      <c r="U23" s="163">
        <v>0</v>
      </c>
      <c r="V23" s="167"/>
      <c r="W23" s="160"/>
      <c r="X23" s="163">
        <v>0</v>
      </c>
      <c r="Y23" s="168"/>
      <c r="Z23" s="170"/>
    </row>
    <row r="24" spans="1:28" ht="15" thickBot="1" x14ac:dyDescent="0.35">
      <c r="A24" s="171"/>
      <c r="B24" s="172"/>
      <c r="C24" s="172"/>
      <c r="D24" s="172"/>
      <c r="E24" s="173"/>
      <c r="F24" s="174"/>
      <c r="G24" s="175"/>
      <c r="H24" s="176"/>
      <c r="I24" s="179"/>
      <c r="J24" s="203"/>
      <c r="K24" s="185"/>
      <c r="L24" s="180">
        <v>0</v>
      </c>
      <c r="M24" s="180">
        <v>0</v>
      </c>
      <c r="N24" s="186">
        <f>SUMPRODUCT(L24,M24)</f>
        <v>0</v>
      </c>
      <c r="O24" s="177"/>
      <c r="P24" s="178"/>
      <c r="Q24" s="178"/>
      <c r="R24" s="178"/>
      <c r="S24" s="178"/>
      <c r="T24" s="179"/>
      <c r="U24" s="180">
        <v>0</v>
      </c>
      <c r="V24" s="181"/>
      <c r="W24" s="179"/>
      <c r="X24" s="180">
        <v>0</v>
      </c>
      <c r="Y24" s="182"/>
      <c r="Z24" s="183"/>
    </row>
    <row r="25" spans="1:28" ht="24" customHeight="1" thickBot="1" x14ac:dyDescent="0.35">
      <c r="A25" s="187" t="s">
        <v>23</v>
      </c>
      <c r="B25" s="188"/>
      <c r="C25" s="188"/>
      <c r="D25" s="188"/>
      <c r="E25" s="189"/>
      <c r="F25" s="190"/>
      <c r="G25" s="191">
        <f>SUM(G4:G24)</f>
        <v>4500.0000000000018</v>
      </c>
      <c r="H25" s="192"/>
      <c r="I25" s="193"/>
      <c r="J25" s="204"/>
      <c r="K25" s="193"/>
      <c r="L25" s="195"/>
      <c r="M25" s="195"/>
      <c r="N25" s="196"/>
      <c r="O25" s="197">
        <f>SUM(O4:O24)</f>
        <v>118800</v>
      </c>
      <c r="P25" s="193"/>
      <c r="Q25" s="193"/>
      <c r="R25" s="193"/>
      <c r="S25" s="193"/>
      <c r="T25" s="193"/>
      <c r="U25" s="195"/>
      <c r="V25" s="198"/>
      <c r="W25" s="193"/>
      <c r="X25" s="195"/>
      <c r="Y25" s="199"/>
      <c r="Z25" s="197">
        <f>SUM(Z4:Z24)</f>
        <v>-56700</v>
      </c>
    </row>
    <row r="26" spans="1:28" x14ac:dyDescent="0.3">
      <c r="A26" s="138">
        <v>44016</v>
      </c>
      <c r="B26" s="139"/>
      <c r="C26" s="139"/>
      <c r="D26" s="139">
        <f>SUM(C26-B26)</f>
        <v>0</v>
      </c>
      <c r="E26" s="140">
        <f>SUM(D26)</f>
        <v>0</v>
      </c>
      <c r="F26" s="141">
        <v>1500</v>
      </c>
      <c r="G26" s="142">
        <f>PRODUCT(E26,36000)</f>
        <v>0</v>
      </c>
      <c r="H26" s="143"/>
      <c r="I26" s="144"/>
      <c r="J26" s="201"/>
      <c r="K26" s="146"/>
      <c r="L26" s="147">
        <v>0</v>
      </c>
      <c r="M26" s="147">
        <v>0</v>
      </c>
      <c r="N26" s="148">
        <f>SUMPRODUCT(L26,M26)</f>
        <v>0</v>
      </c>
      <c r="O26" s="149">
        <f>SUM(N26:N32)</f>
        <v>0</v>
      </c>
      <c r="P26" s="150"/>
      <c r="Q26" s="150"/>
      <c r="R26" s="150"/>
      <c r="S26" s="150"/>
      <c r="T26" s="146"/>
      <c r="U26" s="147">
        <v>0</v>
      </c>
      <c r="V26" s="151">
        <f>U26:U32</f>
        <v>0</v>
      </c>
      <c r="W26" s="146"/>
      <c r="X26" s="147">
        <v>0</v>
      </c>
      <c r="Y26" s="152">
        <f>X26:X32</f>
        <v>0</v>
      </c>
      <c r="Z26" s="153">
        <f>G26+O26+V26-Y26</f>
        <v>0</v>
      </c>
    </row>
    <row r="27" spans="1:28" x14ac:dyDescent="0.3">
      <c r="A27" s="154"/>
      <c r="B27" s="155"/>
      <c r="C27" s="155"/>
      <c r="D27" s="155"/>
      <c r="E27" s="156"/>
      <c r="F27" s="157"/>
      <c r="G27" s="158"/>
      <c r="H27" s="159"/>
      <c r="I27" s="160"/>
      <c r="J27" s="202"/>
      <c r="K27" s="162"/>
      <c r="L27" s="163">
        <v>0</v>
      </c>
      <c r="M27" s="163">
        <v>0</v>
      </c>
      <c r="N27" s="164">
        <f>SUMPRODUCT(L27,M27)</f>
        <v>0</v>
      </c>
      <c r="O27" s="165"/>
      <c r="P27" s="166"/>
      <c r="Q27" s="166"/>
      <c r="R27" s="166"/>
      <c r="S27" s="166"/>
      <c r="T27" s="162"/>
      <c r="U27" s="163">
        <v>0</v>
      </c>
      <c r="V27" s="167"/>
      <c r="W27" s="162"/>
      <c r="X27" s="163">
        <v>0</v>
      </c>
      <c r="Y27" s="168"/>
      <c r="Z27" s="169"/>
    </row>
    <row r="28" spans="1:28" x14ac:dyDescent="0.3">
      <c r="A28" s="154"/>
      <c r="B28" s="155"/>
      <c r="C28" s="155"/>
      <c r="D28" s="155"/>
      <c r="E28" s="156"/>
      <c r="F28" s="157"/>
      <c r="G28" s="158"/>
      <c r="H28" s="159"/>
      <c r="I28" s="160"/>
      <c r="J28" s="202"/>
      <c r="K28" s="162"/>
      <c r="L28" s="163">
        <v>0</v>
      </c>
      <c r="M28" s="163">
        <v>0</v>
      </c>
      <c r="N28" s="164">
        <f>SUMPRODUCT(L28,M28)</f>
        <v>0</v>
      </c>
      <c r="O28" s="165"/>
      <c r="P28" s="166"/>
      <c r="Q28" s="166"/>
      <c r="R28" s="166"/>
      <c r="S28" s="166"/>
      <c r="T28" s="162"/>
      <c r="U28" s="163">
        <v>0</v>
      </c>
      <c r="V28" s="167"/>
      <c r="W28" s="162"/>
      <c r="X28" s="163">
        <v>0</v>
      </c>
      <c r="Y28" s="168"/>
      <c r="Z28" s="169"/>
    </row>
    <row r="29" spans="1:28" x14ac:dyDescent="0.3">
      <c r="A29" s="154"/>
      <c r="B29" s="155"/>
      <c r="C29" s="155"/>
      <c r="D29" s="155"/>
      <c r="E29" s="156"/>
      <c r="F29" s="157"/>
      <c r="G29" s="158"/>
      <c r="H29" s="159"/>
      <c r="I29" s="160"/>
      <c r="J29" s="202"/>
      <c r="K29" s="162"/>
      <c r="L29" s="163">
        <v>0</v>
      </c>
      <c r="M29" s="163">
        <v>0</v>
      </c>
      <c r="N29" s="164">
        <f>SUMPRODUCT(L29,M29)</f>
        <v>0</v>
      </c>
      <c r="O29" s="165"/>
      <c r="P29" s="166"/>
      <c r="Q29" s="166"/>
      <c r="R29" s="166"/>
      <c r="S29" s="166"/>
      <c r="T29" s="162"/>
      <c r="U29" s="163">
        <v>0</v>
      </c>
      <c r="V29" s="167"/>
      <c r="W29" s="162"/>
      <c r="X29" s="163">
        <v>0</v>
      </c>
      <c r="Y29" s="168"/>
      <c r="Z29" s="170"/>
    </row>
    <row r="30" spans="1:28" x14ac:dyDescent="0.3">
      <c r="A30" s="154"/>
      <c r="B30" s="155"/>
      <c r="C30" s="155"/>
      <c r="D30" s="155"/>
      <c r="E30" s="156"/>
      <c r="F30" s="157"/>
      <c r="G30" s="158"/>
      <c r="H30" s="159"/>
      <c r="I30" s="160"/>
      <c r="J30" s="202"/>
      <c r="K30" s="162"/>
      <c r="L30" s="163">
        <v>0</v>
      </c>
      <c r="M30" s="163">
        <v>0</v>
      </c>
      <c r="N30" s="164">
        <f>SUMPRODUCT(L30,M30)</f>
        <v>0</v>
      </c>
      <c r="O30" s="165"/>
      <c r="P30" s="166"/>
      <c r="Q30" s="166"/>
      <c r="R30" s="166"/>
      <c r="S30" s="166"/>
      <c r="T30" s="162"/>
      <c r="U30" s="163">
        <v>0</v>
      </c>
      <c r="V30" s="167"/>
      <c r="W30" s="162"/>
      <c r="X30" s="163">
        <v>0</v>
      </c>
      <c r="Y30" s="168"/>
      <c r="Z30" s="170"/>
    </row>
    <row r="31" spans="1:28" x14ac:dyDescent="0.3">
      <c r="A31" s="154"/>
      <c r="B31" s="155"/>
      <c r="C31" s="155"/>
      <c r="D31" s="155"/>
      <c r="E31" s="156"/>
      <c r="F31" s="157"/>
      <c r="G31" s="158"/>
      <c r="H31" s="159"/>
      <c r="I31" s="160"/>
      <c r="J31" s="202"/>
      <c r="K31" s="162"/>
      <c r="L31" s="163">
        <v>0</v>
      </c>
      <c r="M31" s="163">
        <v>0</v>
      </c>
      <c r="N31" s="164">
        <f>SUMPRODUCT(L31,M31)</f>
        <v>0</v>
      </c>
      <c r="O31" s="165"/>
      <c r="P31" s="166"/>
      <c r="Q31" s="166"/>
      <c r="R31" s="166"/>
      <c r="S31" s="166"/>
      <c r="T31" s="160"/>
      <c r="U31" s="163">
        <v>0</v>
      </c>
      <c r="V31" s="167"/>
      <c r="W31" s="160"/>
      <c r="X31" s="163">
        <v>0</v>
      </c>
      <c r="Y31" s="168"/>
      <c r="Z31" s="170"/>
    </row>
    <row r="32" spans="1:28" ht="15" thickBot="1" x14ac:dyDescent="0.35">
      <c r="A32" s="171"/>
      <c r="B32" s="172"/>
      <c r="C32" s="172"/>
      <c r="D32" s="172"/>
      <c r="E32" s="173"/>
      <c r="F32" s="174"/>
      <c r="G32" s="175"/>
      <c r="H32" s="176"/>
      <c r="I32" s="160"/>
      <c r="J32" s="202"/>
      <c r="K32" s="162"/>
      <c r="L32" s="163">
        <v>0</v>
      </c>
      <c r="M32" s="163">
        <v>0</v>
      </c>
      <c r="N32" s="164">
        <f>SUMPRODUCT(L32,M32)</f>
        <v>0</v>
      </c>
      <c r="O32" s="177"/>
      <c r="P32" s="178"/>
      <c r="Q32" s="178"/>
      <c r="R32" s="178"/>
      <c r="S32" s="178"/>
      <c r="T32" s="179"/>
      <c r="U32" s="180">
        <v>0</v>
      </c>
      <c r="V32" s="181"/>
      <c r="W32" s="179"/>
      <c r="X32" s="180">
        <v>0</v>
      </c>
      <c r="Y32" s="182"/>
      <c r="Z32" s="183"/>
    </row>
    <row r="33" spans="1:26" x14ac:dyDescent="0.3">
      <c r="A33" s="138">
        <v>44017</v>
      </c>
      <c r="B33" s="139"/>
      <c r="C33" s="139"/>
      <c r="D33" s="139">
        <f>SUM(C33-B33)</f>
        <v>0</v>
      </c>
      <c r="E33" s="140">
        <f>SUM(D33)</f>
        <v>0</v>
      </c>
      <c r="F33" s="141">
        <v>1500</v>
      </c>
      <c r="G33" s="142">
        <f>PRODUCT(E33,36000)</f>
        <v>0</v>
      </c>
      <c r="H33" s="143"/>
      <c r="I33" s="144"/>
      <c r="J33" s="201"/>
      <c r="K33" s="146"/>
      <c r="L33" s="147">
        <v>0</v>
      </c>
      <c r="M33" s="147">
        <v>0</v>
      </c>
      <c r="N33" s="148">
        <f>SUMPRODUCT(L33,M33)</f>
        <v>0</v>
      </c>
      <c r="O33" s="149">
        <f>SUM(N33:N39)</f>
        <v>0</v>
      </c>
      <c r="P33" s="150"/>
      <c r="Q33" s="150"/>
      <c r="R33" s="150"/>
      <c r="S33" s="150"/>
      <c r="T33" s="146"/>
      <c r="U33" s="147">
        <v>0</v>
      </c>
      <c r="V33" s="151">
        <f>U33:U39</f>
        <v>0</v>
      </c>
      <c r="W33" s="146"/>
      <c r="X33" s="147">
        <v>0</v>
      </c>
      <c r="Y33" s="152">
        <f>X33:X39</f>
        <v>0</v>
      </c>
      <c r="Z33" s="153">
        <f>G33+O33+V33-Y33</f>
        <v>0</v>
      </c>
    </row>
    <row r="34" spans="1:26" x14ac:dyDescent="0.3">
      <c r="A34" s="154"/>
      <c r="B34" s="155"/>
      <c r="C34" s="155"/>
      <c r="D34" s="155"/>
      <c r="E34" s="156"/>
      <c r="F34" s="157"/>
      <c r="G34" s="158"/>
      <c r="H34" s="159"/>
      <c r="I34" s="160"/>
      <c r="J34" s="202"/>
      <c r="K34" s="162"/>
      <c r="L34" s="163">
        <v>0</v>
      </c>
      <c r="M34" s="163">
        <v>0</v>
      </c>
      <c r="N34" s="164">
        <f>SUMPRODUCT(L34,M34)</f>
        <v>0</v>
      </c>
      <c r="O34" s="165"/>
      <c r="P34" s="166"/>
      <c r="Q34" s="166"/>
      <c r="R34" s="166"/>
      <c r="S34" s="166"/>
      <c r="T34" s="162"/>
      <c r="U34" s="163">
        <v>0</v>
      </c>
      <c r="V34" s="167"/>
      <c r="W34" s="162"/>
      <c r="X34" s="163">
        <v>0</v>
      </c>
      <c r="Y34" s="168"/>
      <c r="Z34" s="169"/>
    </row>
    <row r="35" spans="1:26" x14ac:dyDescent="0.3">
      <c r="A35" s="154"/>
      <c r="B35" s="155"/>
      <c r="C35" s="155"/>
      <c r="D35" s="155"/>
      <c r="E35" s="156"/>
      <c r="F35" s="157"/>
      <c r="G35" s="158"/>
      <c r="H35" s="159"/>
      <c r="I35" s="160"/>
      <c r="J35" s="202"/>
      <c r="K35" s="162"/>
      <c r="L35" s="163">
        <v>0</v>
      </c>
      <c r="M35" s="163">
        <v>0</v>
      </c>
      <c r="N35" s="164">
        <f>SUMPRODUCT(L35,M35)</f>
        <v>0</v>
      </c>
      <c r="O35" s="165"/>
      <c r="P35" s="166"/>
      <c r="Q35" s="166"/>
      <c r="R35" s="166"/>
      <c r="S35" s="166"/>
      <c r="T35" s="162"/>
      <c r="U35" s="163">
        <v>0</v>
      </c>
      <c r="V35" s="167"/>
      <c r="W35" s="162"/>
      <c r="X35" s="163">
        <v>0</v>
      </c>
      <c r="Y35" s="168"/>
      <c r="Z35" s="169"/>
    </row>
    <row r="36" spans="1:26" x14ac:dyDescent="0.3">
      <c r="A36" s="154"/>
      <c r="B36" s="155"/>
      <c r="C36" s="155"/>
      <c r="D36" s="155"/>
      <c r="E36" s="156"/>
      <c r="F36" s="157"/>
      <c r="G36" s="158"/>
      <c r="H36" s="159"/>
      <c r="I36" s="160"/>
      <c r="J36" s="202"/>
      <c r="K36" s="162"/>
      <c r="L36" s="163">
        <v>0</v>
      </c>
      <c r="M36" s="163">
        <v>0</v>
      </c>
      <c r="N36" s="164">
        <f>SUMPRODUCT(L36,M36)</f>
        <v>0</v>
      </c>
      <c r="O36" s="165"/>
      <c r="P36" s="166"/>
      <c r="Q36" s="166"/>
      <c r="R36" s="166"/>
      <c r="S36" s="166"/>
      <c r="T36" s="162"/>
      <c r="U36" s="163">
        <v>0</v>
      </c>
      <c r="V36" s="167"/>
      <c r="W36" s="162"/>
      <c r="X36" s="163">
        <v>0</v>
      </c>
      <c r="Y36" s="168"/>
      <c r="Z36" s="170"/>
    </row>
    <row r="37" spans="1:26" x14ac:dyDescent="0.3">
      <c r="A37" s="154"/>
      <c r="B37" s="155"/>
      <c r="C37" s="155"/>
      <c r="D37" s="155"/>
      <c r="E37" s="156"/>
      <c r="F37" s="157"/>
      <c r="G37" s="158"/>
      <c r="H37" s="159"/>
      <c r="I37" s="160"/>
      <c r="J37" s="202"/>
      <c r="K37" s="162"/>
      <c r="L37" s="163">
        <v>0</v>
      </c>
      <c r="M37" s="163">
        <v>0</v>
      </c>
      <c r="N37" s="164">
        <f>SUMPRODUCT(L37,M37)</f>
        <v>0</v>
      </c>
      <c r="O37" s="165"/>
      <c r="P37" s="166"/>
      <c r="Q37" s="166"/>
      <c r="R37" s="166"/>
      <c r="S37" s="166"/>
      <c r="T37" s="162"/>
      <c r="U37" s="163">
        <v>0</v>
      </c>
      <c r="V37" s="167"/>
      <c r="W37" s="162"/>
      <c r="X37" s="163">
        <v>0</v>
      </c>
      <c r="Y37" s="168"/>
      <c r="Z37" s="170"/>
    </row>
    <row r="38" spans="1:26" x14ac:dyDescent="0.3">
      <c r="A38" s="154"/>
      <c r="B38" s="155"/>
      <c r="C38" s="155"/>
      <c r="D38" s="155"/>
      <c r="E38" s="156"/>
      <c r="F38" s="157"/>
      <c r="G38" s="158"/>
      <c r="H38" s="159"/>
      <c r="I38" s="160"/>
      <c r="J38" s="202"/>
      <c r="K38" s="162"/>
      <c r="L38" s="163">
        <v>0</v>
      </c>
      <c r="M38" s="163">
        <v>0</v>
      </c>
      <c r="N38" s="164">
        <f>SUMPRODUCT(L38,M38)</f>
        <v>0</v>
      </c>
      <c r="O38" s="165"/>
      <c r="P38" s="166"/>
      <c r="Q38" s="166"/>
      <c r="R38" s="166"/>
      <c r="S38" s="166"/>
      <c r="T38" s="160"/>
      <c r="U38" s="163">
        <v>0</v>
      </c>
      <c r="V38" s="167"/>
      <c r="W38" s="160"/>
      <c r="X38" s="163">
        <v>0</v>
      </c>
      <c r="Y38" s="168"/>
      <c r="Z38" s="170"/>
    </row>
    <row r="39" spans="1:26" ht="15" thickBot="1" x14ac:dyDescent="0.35">
      <c r="A39" s="171"/>
      <c r="B39" s="172"/>
      <c r="C39" s="172"/>
      <c r="D39" s="172"/>
      <c r="E39" s="173"/>
      <c r="F39" s="174"/>
      <c r="G39" s="175"/>
      <c r="H39" s="176"/>
      <c r="I39" s="160"/>
      <c r="J39" s="202"/>
      <c r="K39" s="162"/>
      <c r="L39" s="163">
        <v>0</v>
      </c>
      <c r="M39" s="163">
        <v>0</v>
      </c>
      <c r="N39" s="164">
        <f>SUMPRODUCT(L39,M39)</f>
        <v>0</v>
      </c>
      <c r="O39" s="177"/>
      <c r="P39" s="178"/>
      <c r="Q39" s="178"/>
      <c r="R39" s="178"/>
      <c r="S39" s="178"/>
      <c r="T39" s="179"/>
      <c r="U39" s="180">
        <v>0</v>
      </c>
      <c r="V39" s="181"/>
      <c r="W39" s="179"/>
      <c r="X39" s="180">
        <v>0</v>
      </c>
      <c r="Y39" s="182"/>
      <c r="Z39" s="183"/>
    </row>
    <row r="40" spans="1:26" x14ac:dyDescent="0.3">
      <c r="A40" s="138">
        <v>44018</v>
      </c>
      <c r="B40" s="139"/>
      <c r="C40" s="139"/>
      <c r="D40" s="139">
        <f>SUM(C40-B40)</f>
        <v>0</v>
      </c>
      <c r="E40" s="140">
        <f>SUM(D40)</f>
        <v>0</v>
      </c>
      <c r="F40" s="141">
        <v>1501</v>
      </c>
      <c r="G40" s="142">
        <f>PRODUCT(E40,36000)</f>
        <v>0</v>
      </c>
      <c r="H40" s="143"/>
      <c r="I40" s="144"/>
      <c r="J40" s="201"/>
      <c r="K40" s="146"/>
      <c r="L40" s="147">
        <v>0</v>
      </c>
      <c r="M40" s="147">
        <v>0</v>
      </c>
      <c r="N40" s="148">
        <f>SUMPRODUCT(L40,M40)</f>
        <v>0</v>
      </c>
      <c r="O40" s="149">
        <f>SUM(N40:N46)</f>
        <v>0</v>
      </c>
      <c r="P40" s="150"/>
      <c r="Q40" s="150"/>
      <c r="R40" s="150"/>
      <c r="S40" s="150"/>
      <c r="T40" s="146"/>
      <c r="U40" s="147">
        <v>0</v>
      </c>
      <c r="V40" s="151">
        <f>U40:U46</f>
        <v>0</v>
      </c>
      <c r="W40" s="146"/>
      <c r="X40" s="147">
        <v>0</v>
      </c>
      <c r="Y40" s="152">
        <f>X40:X46</f>
        <v>0</v>
      </c>
      <c r="Z40" s="153">
        <f>G40+O40+V40-Y40</f>
        <v>0</v>
      </c>
    </row>
    <row r="41" spans="1:26" x14ac:dyDescent="0.3">
      <c r="A41" s="154"/>
      <c r="B41" s="155"/>
      <c r="C41" s="155"/>
      <c r="D41" s="155"/>
      <c r="E41" s="156"/>
      <c r="F41" s="157"/>
      <c r="G41" s="158"/>
      <c r="H41" s="159"/>
      <c r="I41" s="160"/>
      <c r="J41" s="202"/>
      <c r="K41" s="162"/>
      <c r="L41" s="163">
        <v>0</v>
      </c>
      <c r="M41" s="163">
        <v>0</v>
      </c>
      <c r="N41" s="164">
        <f>SUMPRODUCT(L41,M41)</f>
        <v>0</v>
      </c>
      <c r="O41" s="165"/>
      <c r="P41" s="166"/>
      <c r="Q41" s="166"/>
      <c r="R41" s="166"/>
      <c r="S41" s="166"/>
      <c r="T41" s="162"/>
      <c r="U41" s="163">
        <v>0</v>
      </c>
      <c r="V41" s="167"/>
      <c r="W41" s="162"/>
      <c r="X41" s="163">
        <v>0</v>
      </c>
      <c r="Y41" s="168"/>
      <c r="Z41" s="169"/>
    </row>
    <row r="42" spans="1:26" x14ac:dyDescent="0.3">
      <c r="A42" s="154"/>
      <c r="B42" s="155"/>
      <c r="C42" s="155"/>
      <c r="D42" s="155"/>
      <c r="E42" s="156"/>
      <c r="F42" s="157"/>
      <c r="G42" s="158"/>
      <c r="H42" s="159"/>
      <c r="I42" s="160"/>
      <c r="J42" s="202"/>
      <c r="K42" s="162"/>
      <c r="L42" s="163">
        <v>0</v>
      </c>
      <c r="M42" s="163">
        <v>0</v>
      </c>
      <c r="N42" s="164">
        <f>SUMPRODUCT(L42,M42)</f>
        <v>0</v>
      </c>
      <c r="O42" s="165"/>
      <c r="P42" s="166"/>
      <c r="Q42" s="166"/>
      <c r="R42" s="166"/>
      <c r="S42" s="166"/>
      <c r="T42" s="162"/>
      <c r="U42" s="163">
        <v>0</v>
      </c>
      <c r="V42" s="167"/>
      <c r="W42" s="162"/>
      <c r="X42" s="163">
        <v>0</v>
      </c>
      <c r="Y42" s="168"/>
      <c r="Z42" s="169"/>
    </row>
    <row r="43" spans="1:26" x14ac:dyDescent="0.3">
      <c r="A43" s="154"/>
      <c r="B43" s="155"/>
      <c r="C43" s="155"/>
      <c r="D43" s="155"/>
      <c r="E43" s="156"/>
      <c r="F43" s="157"/>
      <c r="G43" s="158"/>
      <c r="H43" s="159"/>
      <c r="I43" s="160"/>
      <c r="J43" s="202"/>
      <c r="K43" s="162"/>
      <c r="L43" s="163">
        <v>0</v>
      </c>
      <c r="M43" s="163">
        <v>0</v>
      </c>
      <c r="N43" s="164">
        <f>SUMPRODUCT(L43,M43)</f>
        <v>0</v>
      </c>
      <c r="O43" s="165"/>
      <c r="P43" s="166"/>
      <c r="Q43" s="166"/>
      <c r="R43" s="166"/>
      <c r="S43" s="166"/>
      <c r="T43" s="162"/>
      <c r="U43" s="163">
        <v>0</v>
      </c>
      <c r="V43" s="167"/>
      <c r="W43" s="162"/>
      <c r="X43" s="163">
        <v>0</v>
      </c>
      <c r="Y43" s="168"/>
      <c r="Z43" s="170"/>
    </row>
    <row r="44" spans="1:26" x14ac:dyDescent="0.3">
      <c r="A44" s="154"/>
      <c r="B44" s="155"/>
      <c r="C44" s="155"/>
      <c r="D44" s="155"/>
      <c r="E44" s="156"/>
      <c r="F44" s="157"/>
      <c r="G44" s="158"/>
      <c r="H44" s="159"/>
      <c r="I44" s="160"/>
      <c r="J44" s="202"/>
      <c r="K44" s="162"/>
      <c r="L44" s="163">
        <v>0</v>
      </c>
      <c r="M44" s="163">
        <v>0</v>
      </c>
      <c r="N44" s="164">
        <f>SUMPRODUCT(L44,M44)</f>
        <v>0</v>
      </c>
      <c r="O44" s="165"/>
      <c r="P44" s="166"/>
      <c r="Q44" s="166"/>
      <c r="R44" s="166"/>
      <c r="S44" s="166"/>
      <c r="T44" s="162"/>
      <c r="U44" s="163">
        <v>0</v>
      </c>
      <c r="V44" s="167"/>
      <c r="W44" s="162"/>
      <c r="X44" s="163">
        <v>0</v>
      </c>
      <c r="Y44" s="168"/>
      <c r="Z44" s="170"/>
    </row>
    <row r="45" spans="1:26" x14ac:dyDescent="0.3">
      <c r="A45" s="154"/>
      <c r="B45" s="155"/>
      <c r="C45" s="155"/>
      <c r="D45" s="155"/>
      <c r="E45" s="156"/>
      <c r="F45" s="157"/>
      <c r="G45" s="158"/>
      <c r="H45" s="159"/>
      <c r="I45" s="160"/>
      <c r="J45" s="202"/>
      <c r="K45" s="162"/>
      <c r="L45" s="163">
        <v>0</v>
      </c>
      <c r="M45" s="163">
        <v>0</v>
      </c>
      <c r="N45" s="164">
        <f>SUMPRODUCT(L45,M45)</f>
        <v>0</v>
      </c>
      <c r="O45" s="165"/>
      <c r="P45" s="166"/>
      <c r="Q45" s="166"/>
      <c r="R45" s="166"/>
      <c r="S45" s="166"/>
      <c r="T45" s="160"/>
      <c r="U45" s="163">
        <v>0</v>
      </c>
      <c r="V45" s="167"/>
      <c r="W45" s="160"/>
      <c r="X45" s="163">
        <v>0</v>
      </c>
      <c r="Y45" s="168"/>
      <c r="Z45" s="170"/>
    </row>
    <row r="46" spans="1:26" ht="15" thickBot="1" x14ac:dyDescent="0.35">
      <c r="A46" s="171"/>
      <c r="B46" s="172"/>
      <c r="C46" s="172"/>
      <c r="D46" s="172"/>
      <c r="E46" s="173"/>
      <c r="F46" s="174"/>
      <c r="G46" s="175"/>
      <c r="H46" s="176"/>
      <c r="I46" s="160"/>
      <c r="J46" s="202"/>
      <c r="K46" s="162"/>
      <c r="L46" s="163">
        <v>0</v>
      </c>
      <c r="M46" s="163">
        <v>0</v>
      </c>
      <c r="N46" s="164">
        <f>SUMPRODUCT(L46,M46)</f>
        <v>0</v>
      </c>
      <c r="O46" s="177"/>
      <c r="P46" s="178"/>
      <c r="Q46" s="178"/>
      <c r="R46" s="178"/>
      <c r="S46" s="178"/>
      <c r="T46" s="179"/>
      <c r="U46" s="180">
        <v>0</v>
      </c>
      <c r="V46" s="181"/>
      <c r="W46" s="179"/>
      <c r="X46" s="180">
        <v>0</v>
      </c>
      <c r="Y46" s="182"/>
      <c r="Z46" s="183"/>
    </row>
    <row r="47" spans="1:26" x14ac:dyDescent="0.3">
      <c r="A47" s="138">
        <v>44019</v>
      </c>
      <c r="B47" s="139"/>
      <c r="C47" s="139"/>
      <c r="D47" s="139">
        <f>SUM(C47-B47)</f>
        <v>0</v>
      </c>
      <c r="E47" s="140">
        <f>SUM(D47)</f>
        <v>0</v>
      </c>
      <c r="F47" s="141">
        <v>1502</v>
      </c>
      <c r="G47" s="142">
        <f>PRODUCT(E47,36000)</f>
        <v>0</v>
      </c>
      <c r="H47" s="143"/>
      <c r="I47" s="144"/>
      <c r="J47" s="201"/>
      <c r="K47" s="146"/>
      <c r="L47" s="147">
        <v>0</v>
      </c>
      <c r="M47" s="147">
        <v>0</v>
      </c>
      <c r="N47" s="148">
        <f>SUMPRODUCT(L47,M47)</f>
        <v>0</v>
      </c>
      <c r="O47" s="149">
        <f>SUM(N47:N53)</f>
        <v>0</v>
      </c>
      <c r="P47" s="150"/>
      <c r="Q47" s="150"/>
      <c r="R47" s="150"/>
      <c r="S47" s="150"/>
      <c r="T47" s="146"/>
      <c r="U47" s="147">
        <v>0</v>
      </c>
      <c r="V47" s="151">
        <f>U47:U53</f>
        <v>0</v>
      </c>
      <c r="W47" s="146"/>
      <c r="X47" s="147">
        <v>0</v>
      </c>
      <c r="Y47" s="152">
        <f>X47:X53</f>
        <v>0</v>
      </c>
      <c r="Z47" s="153">
        <f>G47+O47+V47-Y47</f>
        <v>0</v>
      </c>
    </row>
    <row r="48" spans="1:26" x14ac:dyDescent="0.3">
      <c r="A48" s="154"/>
      <c r="B48" s="155"/>
      <c r="C48" s="155"/>
      <c r="D48" s="155"/>
      <c r="E48" s="156"/>
      <c r="F48" s="157"/>
      <c r="G48" s="158"/>
      <c r="H48" s="159"/>
      <c r="I48" s="160"/>
      <c r="J48" s="202"/>
      <c r="K48" s="162"/>
      <c r="L48" s="163">
        <v>0</v>
      </c>
      <c r="M48" s="163">
        <v>0</v>
      </c>
      <c r="N48" s="164">
        <f>SUMPRODUCT(L48,M48)</f>
        <v>0</v>
      </c>
      <c r="O48" s="165"/>
      <c r="P48" s="166"/>
      <c r="Q48" s="166"/>
      <c r="R48" s="166"/>
      <c r="S48" s="166"/>
      <c r="T48" s="162"/>
      <c r="U48" s="163">
        <v>0</v>
      </c>
      <c r="V48" s="167"/>
      <c r="W48" s="162"/>
      <c r="X48" s="163">
        <v>0</v>
      </c>
      <c r="Y48" s="168"/>
      <c r="Z48" s="169"/>
    </row>
    <row r="49" spans="1:26" x14ac:dyDescent="0.3">
      <c r="A49" s="154"/>
      <c r="B49" s="155"/>
      <c r="C49" s="155"/>
      <c r="D49" s="155"/>
      <c r="E49" s="156"/>
      <c r="F49" s="157"/>
      <c r="G49" s="158"/>
      <c r="H49" s="159"/>
      <c r="I49" s="160"/>
      <c r="J49" s="202"/>
      <c r="K49" s="162"/>
      <c r="L49" s="163">
        <v>0</v>
      </c>
      <c r="M49" s="163">
        <v>0</v>
      </c>
      <c r="N49" s="164">
        <f>SUMPRODUCT(L49,M49)</f>
        <v>0</v>
      </c>
      <c r="O49" s="165"/>
      <c r="P49" s="166"/>
      <c r="Q49" s="166"/>
      <c r="R49" s="166"/>
      <c r="S49" s="166"/>
      <c r="T49" s="162"/>
      <c r="U49" s="163">
        <v>0</v>
      </c>
      <c r="V49" s="167"/>
      <c r="W49" s="162"/>
      <c r="X49" s="163">
        <v>0</v>
      </c>
      <c r="Y49" s="168"/>
      <c r="Z49" s="169"/>
    </row>
    <row r="50" spans="1:26" x14ac:dyDescent="0.3">
      <c r="A50" s="154"/>
      <c r="B50" s="155"/>
      <c r="C50" s="155"/>
      <c r="D50" s="155"/>
      <c r="E50" s="156"/>
      <c r="F50" s="157"/>
      <c r="G50" s="158"/>
      <c r="H50" s="159"/>
      <c r="I50" s="160"/>
      <c r="J50" s="202"/>
      <c r="K50" s="162"/>
      <c r="L50" s="163">
        <v>0</v>
      </c>
      <c r="M50" s="163">
        <v>0</v>
      </c>
      <c r="N50" s="164">
        <f>SUMPRODUCT(L50,M50)</f>
        <v>0</v>
      </c>
      <c r="O50" s="165"/>
      <c r="P50" s="166"/>
      <c r="Q50" s="166"/>
      <c r="R50" s="166"/>
      <c r="S50" s="166"/>
      <c r="T50" s="162"/>
      <c r="U50" s="163">
        <v>0</v>
      </c>
      <c r="V50" s="167"/>
      <c r="W50" s="162"/>
      <c r="X50" s="163">
        <v>0</v>
      </c>
      <c r="Y50" s="168"/>
      <c r="Z50" s="170"/>
    </row>
    <row r="51" spans="1:26" x14ac:dyDescent="0.3">
      <c r="A51" s="154"/>
      <c r="B51" s="155"/>
      <c r="C51" s="155"/>
      <c r="D51" s="155"/>
      <c r="E51" s="156"/>
      <c r="F51" s="157"/>
      <c r="G51" s="158"/>
      <c r="H51" s="159"/>
      <c r="I51" s="160"/>
      <c r="J51" s="202"/>
      <c r="K51" s="162"/>
      <c r="L51" s="163">
        <v>0</v>
      </c>
      <c r="M51" s="163">
        <v>0</v>
      </c>
      <c r="N51" s="164">
        <f>SUMPRODUCT(L51,M51)</f>
        <v>0</v>
      </c>
      <c r="O51" s="165"/>
      <c r="P51" s="166"/>
      <c r="Q51" s="166"/>
      <c r="R51" s="166"/>
      <c r="S51" s="166"/>
      <c r="T51" s="162"/>
      <c r="U51" s="163">
        <v>0</v>
      </c>
      <c r="V51" s="167"/>
      <c r="W51" s="162"/>
      <c r="X51" s="163">
        <v>0</v>
      </c>
      <c r="Y51" s="168"/>
      <c r="Z51" s="170"/>
    </row>
    <row r="52" spans="1:26" x14ac:dyDescent="0.3">
      <c r="A52" s="154"/>
      <c r="B52" s="155"/>
      <c r="C52" s="155"/>
      <c r="D52" s="155"/>
      <c r="E52" s="156"/>
      <c r="F52" s="157"/>
      <c r="G52" s="158"/>
      <c r="H52" s="159"/>
      <c r="I52" s="160"/>
      <c r="J52" s="202"/>
      <c r="K52" s="162"/>
      <c r="L52" s="163">
        <v>0</v>
      </c>
      <c r="M52" s="163">
        <v>0</v>
      </c>
      <c r="N52" s="164">
        <f>SUMPRODUCT(L52,M52)</f>
        <v>0</v>
      </c>
      <c r="O52" s="165"/>
      <c r="P52" s="166"/>
      <c r="Q52" s="166"/>
      <c r="R52" s="166"/>
      <c r="S52" s="166"/>
      <c r="T52" s="160"/>
      <c r="U52" s="163">
        <v>0</v>
      </c>
      <c r="V52" s="167"/>
      <c r="W52" s="160"/>
      <c r="X52" s="163">
        <v>0</v>
      </c>
      <c r="Y52" s="168"/>
      <c r="Z52" s="170"/>
    </row>
    <row r="53" spans="1:26" ht="15" thickBot="1" x14ac:dyDescent="0.35">
      <c r="A53" s="171"/>
      <c r="B53" s="172"/>
      <c r="C53" s="172"/>
      <c r="D53" s="172"/>
      <c r="E53" s="173"/>
      <c r="F53" s="174"/>
      <c r="G53" s="175"/>
      <c r="H53" s="176"/>
      <c r="I53" s="160"/>
      <c r="J53" s="202"/>
      <c r="K53" s="162"/>
      <c r="L53" s="163">
        <v>0</v>
      </c>
      <c r="M53" s="163">
        <v>0</v>
      </c>
      <c r="N53" s="164">
        <f>SUMPRODUCT(L53,M53)</f>
        <v>0</v>
      </c>
      <c r="O53" s="177"/>
      <c r="P53" s="178"/>
      <c r="Q53" s="178"/>
      <c r="R53" s="178"/>
      <c r="S53" s="178"/>
      <c r="T53" s="179"/>
      <c r="U53" s="180">
        <v>0</v>
      </c>
      <c r="V53" s="181"/>
      <c r="W53" s="179"/>
      <c r="X53" s="180">
        <v>0</v>
      </c>
      <c r="Y53" s="182"/>
      <c r="Z53" s="183"/>
    </row>
    <row r="54" spans="1:26" x14ac:dyDescent="0.3">
      <c r="A54" s="138">
        <v>44020</v>
      </c>
      <c r="B54" s="139"/>
      <c r="C54" s="139"/>
      <c r="D54" s="139">
        <f>SUM(C54-B54)</f>
        <v>0</v>
      </c>
      <c r="E54" s="140">
        <f>SUM(D54)</f>
        <v>0</v>
      </c>
      <c r="F54" s="141">
        <v>1503</v>
      </c>
      <c r="G54" s="142">
        <f>PRODUCT(E54,36000)</f>
        <v>0</v>
      </c>
      <c r="H54" s="143"/>
      <c r="I54" s="144"/>
      <c r="J54" s="201"/>
      <c r="K54" s="146"/>
      <c r="L54" s="147">
        <v>0</v>
      </c>
      <c r="M54" s="147">
        <v>0</v>
      </c>
      <c r="N54" s="148">
        <f>SUMPRODUCT(L54,M54)</f>
        <v>0</v>
      </c>
      <c r="O54" s="149">
        <f>SUM(N54:N60)</f>
        <v>0</v>
      </c>
      <c r="P54" s="150"/>
      <c r="Q54" s="150"/>
      <c r="R54" s="150"/>
      <c r="S54" s="150"/>
      <c r="T54" s="146"/>
      <c r="U54" s="147">
        <v>0</v>
      </c>
      <c r="V54" s="151">
        <f>U54:U60</f>
        <v>0</v>
      </c>
      <c r="W54" s="146"/>
      <c r="X54" s="147">
        <v>0</v>
      </c>
      <c r="Y54" s="152">
        <f>X54:X60</f>
        <v>0</v>
      </c>
      <c r="Z54" s="153">
        <f>G54+O54+V54-Y54</f>
        <v>0</v>
      </c>
    </row>
    <row r="55" spans="1:26" x14ac:dyDescent="0.3">
      <c r="A55" s="154"/>
      <c r="B55" s="155"/>
      <c r="C55" s="155"/>
      <c r="D55" s="155"/>
      <c r="E55" s="156"/>
      <c r="F55" s="157"/>
      <c r="G55" s="158"/>
      <c r="H55" s="159"/>
      <c r="I55" s="160"/>
      <c r="J55" s="202"/>
      <c r="K55" s="162"/>
      <c r="L55" s="163">
        <v>0</v>
      </c>
      <c r="M55" s="163">
        <v>0</v>
      </c>
      <c r="N55" s="164">
        <f>SUMPRODUCT(L55,M55)</f>
        <v>0</v>
      </c>
      <c r="O55" s="165"/>
      <c r="P55" s="166"/>
      <c r="Q55" s="166"/>
      <c r="R55" s="166"/>
      <c r="S55" s="166"/>
      <c r="T55" s="162"/>
      <c r="U55" s="163">
        <v>0</v>
      </c>
      <c r="V55" s="167"/>
      <c r="W55" s="162"/>
      <c r="X55" s="163">
        <v>0</v>
      </c>
      <c r="Y55" s="168"/>
      <c r="Z55" s="169"/>
    </row>
    <row r="56" spans="1:26" x14ac:dyDescent="0.3">
      <c r="A56" s="154"/>
      <c r="B56" s="155"/>
      <c r="C56" s="155"/>
      <c r="D56" s="155"/>
      <c r="E56" s="156"/>
      <c r="F56" s="157"/>
      <c r="G56" s="158"/>
      <c r="H56" s="159"/>
      <c r="I56" s="160"/>
      <c r="J56" s="202"/>
      <c r="K56" s="162"/>
      <c r="L56" s="163">
        <v>0</v>
      </c>
      <c r="M56" s="163">
        <v>0</v>
      </c>
      <c r="N56" s="164">
        <f>SUMPRODUCT(L56,M56)</f>
        <v>0</v>
      </c>
      <c r="O56" s="165"/>
      <c r="P56" s="166"/>
      <c r="Q56" s="166"/>
      <c r="R56" s="166"/>
      <c r="S56" s="166"/>
      <c r="T56" s="162"/>
      <c r="U56" s="163">
        <v>0</v>
      </c>
      <c r="V56" s="167"/>
      <c r="W56" s="162"/>
      <c r="X56" s="163">
        <v>0</v>
      </c>
      <c r="Y56" s="168"/>
      <c r="Z56" s="169"/>
    </row>
    <row r="57" spans="1:26" x14ac:dyDescent="0.3">
      <c r="A57" s="154"/>
      <c r="B57" s="155"/>
      <c r="C57" s="155"/>
      <c r="D57" s="155"/>
      <c r="E57" s="156"/>
      <c r="F57" s="157"/>
      <c r="G57" s="158"/>
      <c r="H57" s="159"/>
      <c r="I57" s="160"/>
      <c r="J57" s="202"/>
      <c r="K57" s="162"/>
      <c r="L57" s="163">
        <v>0</v>
      </c>
      <c r="M57" s="163">
        <v>0</v>
      </c>
      <c r="N57" s="164">
        <f>SUMPRODUCT(L57,M57)</f>
        <v>0</v>
      </c>
      <c r="O57" s="165"/>
      <c r="P57" s="166"/>
      <c r="Q57" s="166"/>
      <c r="R57" s="166"/>
      <c r="S57" s="166"/>
      <c r="T57" s="162"/>
      <c r="U57" s="163">
        <v>0</v>
      </c>
      <c r="V57" s="167"/>
      <c r="W57" s="162"/>
      <c r="X57" s="163">
        <v>0</v>
      </c>
      <c r="Y57" s="168"/>
      <c r="Z57" s="170"/>
    </row>
    <row r="58" spans="1:26" x14ac:dyDescent="0.3">
      <c r="A58" s="154"/>
      <c r="B58" s="155"/>
      <c r="C58" s="155"/>
      <c r="D58" s="155"/>
      <c r="E58" s="156"/>
      <c r="F58" s="157"/>
      <c r="G58" s="158"/>
      <c r="H58" s="159"/>
      <c r="I58" s="160"/>
      <c r="J58" s="202"/>
      <c r="K58" s="162"/>
      <c r="L58" s="163">
        <v>0</v>
      </c>
      <c r="M58" s="163">
        <v>0</v>
      </c>
      <c r="N58" s="164">
        <f>SUMPRODUCT(L58,M58)</f>
        <v>0</v>
      </c>
      <c r="O58" s="165"/>
      <c r="P58" s="166"/>
      <c r="Q58" s="166"/>
      <c r="R58" s="166"/>
      <c r="S58" s="166"/>
      <c r="T58" s="162"/>
      <c r="U58" s="163">
        <v>0</v>
      </c>
      <c r="V58" s="167"/>
      <c r="W58" s="162"/>
      <c r="X58" s="163">
        <v>0</v>
      </c>
      <c r="Y58" s="168"/>
      <c r="Z58" s="170"/>
    </row>
    <row r="59" spans="1:26" x14ac:dyDescent="0.3">
      <c r="A59" s="154"/>
      <c r="B59" s="155"/>
      <c r="C59" s="155"/>
      <c r="D59" s="155"/>
      <c r="E59" s="156"/>
      <c r="F59" s="157"/>
      <c r="G59" s="158"/>
      <c r="H59" s="159"/>
      <c r="I59" s="160"/>
      <c r="J59" s="202"/>
      <c r="K59" s="162"/>
      <c r="L59" s="163">
        <v>0</v>
      </c>
      <c r="M59" s="163">
        <v>0</v>
      </c>
      <c r="N59" s="164">
        <f>SUMPRODUCT(L59,M59)</f>
        <v>0</v>
      </c>
      <c r="O59" s="165"/>
      <c r="P59" s="166"/>
      <c r="Q59" s="166"/>
      <c r="R59" s="166"/>
      <c r="S59" s="166"/>
      <c r="T59" s="160"/>
      <c r="U59" s="163">
        <v>0</v>
      </c>
      <c r="V59" s="167"/>
      <c r="W59" s="160"/>
      <c r="X59" s="163">
        <v>0</v>
      </c>
      <c r="Y59" s="168"/>
      <c r="Z59" s="170"/>
    </row>
    <row r="60" spans="1:26" ht="15" thickBot="1" x14ac:dyDescent="0.35">
      <c r="A60" s="171"/>
      <c r="B60" s="172"/>
      <c r="C60" s="172"/>
      <c r="D60" s="172"/>
      <c r="E60" s="173"/>
      <c r="F60" s="174"/>
      <c r="G60" s="175"/>
      <c r="H60" s="176"/>
      <c r="I60" s="160"/>
      <c r="J60" s="202"/>
      <c r="K60" s="162"/>
      <c r="L60" s="163">
        <v>0</v>
      </c>
      <c r="M60" s="163">
        <v>0</v>
      </c>
      <c r="N60" s="164">
        <f>SUMPRODUCT(L60,M60)</f>
        <v>0</v>
      </c>
      <c r="O60" s="177"/>
      <c r="P60" s="178"/>
      <c r="Q60" s="178"/>
      <c r="R60" s="178"/>
      <c r="S60" s="178"/>
      <c r="T60" s="179"/>
      <c r="U60" s="180">
        <v>0</v>
      </c>
      <c r="V60" s="181"/>
      <c r="W60" s="179"/>
      <c r="X60" s="180">
        <v>0</v>
      </c>
      <c r="Y60" s="182"/>
      <c r="Z60" s="183"/>
    </row>
    <row r="61" spans="1:26" x14ac:dyDescent="0.3">
      <c r="A61" s="138">
        <v>44021</v>
      </c>
      <c r="B61" s="139"/>
      <c r="C61" s="139"/>
      <c r="D61" s="139">
        <f>SUM(C61-B61)</f>
        <v>0</v>
      </c>
      <c r="E61" s="140">
        <f>SUM(D61)</f>
        <v>0</v>
      </c>
      <c r="F61" s="141">
        <v>1504</v>
      </c>
      <c r="G61" s="142">
        <f>PRODUCT(E61,36000)</f>
        <v>0</v>
      </c>
      <c r="H61" s="143"/>
      <c r="I61" s="144"/>
      <c r="J61" s="201"/>
      <c r="K61" s="146"/>
      <c r="L61" s="147">
        <v>0</v>
      </c>
      <c r="M61" s="147">
        <v>0</v>
      </c>
      <c r="N61" s="148">
        <f>SUMPRODUCT(L61,M61)</f>
        <v>0</v>
      </c>
      <c r="O61" s="149">
        <f>SUM(N61:N67)</f>
        <v>0</v>
      </c>
      <c r="P61" s="150"/>
      <c r="Q61" s="150"/>
      <c r="R61" s="150"/>
      <c r="S61" s="150"/>
      <c r="T61" s="146"/>
      <c r="U61" s="147">
        <v>0</v>
      </c>
      <c r="V61" s="151">
        <f>U61:U67</f>
        <v>0</v>
      </c>
      <c r="W61" s="146"/>
      <c r="X61" s="147">
        <v>0</v>
      </c>
      <c r="Y61" s="152">
        <f>X61:X67</f>
        <v>0</v>
      </c>
      <c r="Z61" s="153">
        <f>G61+O61+V61-Y61</f>
        <v>0</v>
      </c>
    </row>
    <row r="62" spans="1:26" x14ac:dyDescent="0.3">
      <c r="A62" s="154"/>
      <c r="B62" s="155"/>
      <c r="C62" s="155"/>
      <c r="D62" s="155"/>
      <c r="E62" s="156"/>
      <c r="F62" s="157"/>
      <c r="G62" s="158"/>
      <c r="H62" s="159"/>
      <c r="I62" s="160"/>
      <c r="J62" s="202"/>
      <c r="K62" s="162"/>
      <c r="L62" s="163">
        <v>0</v>
      </c>
      <c r="M62" s="163">
        <v>0</v>
      </c>
      <c r="N62" s="164">
        <f>SUMPRODUCT(L62,M62)</f>
        <v>0</v>
      </c>
      <c r="O62" s="165"/>
      <c r="P62" s="166"/>
      <c r="Q62" s="166"/>
      <c r="R62" s="166"/>
      <c r="S62" s="166"/>
      <c r="T62" s="162"/>
      <c r="U62" s="163">
        <v>0</v>
      </c>
      <c r="V62" s="167"/>
      <c r="W62" s="162"/>
      <c r="X62" s="163">
        <v>0</v>
      </c>
      <c r="Y62" s="168"/>
      <c r="Z62" s="169"/>
    </row>
    <row r="63" spans="1:26" x14ac:dyDescent="0.3">
      <c r="A63" s="154"/>
      <c r="B63" s="155"/>
      <c r="C63" s="155"/>
      <c r="D63" s="155"/>
      <c r="E63" s="156"/>
      <c r="F63" s="157"/>
      <c r="G63" s="158"/>
      <c r="H63" s="159"/>
      <c r="I63" s="160"/>
      <c r="J63" s="202"/>
      <c r="K63" s="162"/>
      <c r="L63" s="163">
        <v>0</v>
      </c>
      <c r="M63" s="163">
        <v>0</v>
      </c>
      <c r="N63" s="164">
        <f>SUMPRODUCT(L63,M63)</f>
        <v>0</v>
      </c>
      <c r="O63" s="165"/>
      <c r="P63" s="166"/>
      <c r="Q63" s="166"/>
      <c r="R63" s="166"/>
      <c r="S63" s="166"/>
      <c r="T63" s="162"/>
      <c r="U63" s="163">
        <v>0</v>
      </c>
      <c r="V63" s="167"/>
      <c r="W63" s="162"/>
      <c r="X63" s="163">
        <v>0</v>
      </c>
      <c r="Y63" s="168"/>
      <c r="Z63" s="169"/>
    </row>
    <row r="64" spans="1:26" x14ac:dyDescent="0.3">
      <c r="A64" s="154"/>
      <c r="B64" s="155"/>
      <c r="C64" s="155"/>
      <c r="D64" s="155"/>
      <c r="E64" s="156"/>
      <c r="F64" s="157"/>
      <c r="G64" s="158"/>
      <c r="H64" s="159"/>
      <c r="I64" s="160"/>
      <c r="J64" s="202"/>
      <c r="K64" s="162"/>
      <c r="L64" s="163">
        <v>0</v>
      </c>
      <c r="M64" s="163">
        <v>0</v>
      </c>
      <c r="N64" s="164">
        <f>SUMPRODUCT(L64,M64)</f>
        <v>0</v>
      </c>
      <c r="O64" s="165"/>
      <c r="P64" s="166"/>
      <c r="Q64" s="166"/>
      <c r="R64" s="166"/>
      <c r="S64" s="166"/>
      <c r="T64" s="162"/>
      <c r="U64" s="163">
        <v>0</v>
      </c>
      <c r="V64" s="167"/>
      <c r="W64" s="162"/>
      <c r="X64" s="163">
        <v>0</v>
      </c>
      <c r="Y64" s="168"/>
      <c r="Z64" s="170"/>
    </row>
    <row r="65" spans="1:26" x14ac:dyDescent="0.3">
      <c r="A65" s="154"/>
      <c r="B65" s="155"/>
      <c r="C65" s="155"/>
      <c r="D65" s="155"/>
      <c r="E65" s="156"/>
      <c r="F65" s="157"/>
      <c r="G65" s="158"/>
      <c r="H65" s="159"/>
      <c r="I65" s="160"/>
      <c r="J65" s="202"/>
      <c r="K65" s="162"/>
      <c r="L65" s="163">
        <v>0</v>
      </c>
      <c r="M65" s="163">
        <v>0</v>
      </c>
      <c r="N65" s="164">
        <f>SUMPRODUCT(L65,M65)</f>
        <v>0</v>
      </c>
      <c r="O65" s="165"/>
      <c r="P65" s="166"/>
      <c r="Q65" s="166"/>
      <c r="R65" s="166"/>
      <c r="S65" s="166"/>
      <c r="T65" s="162"/>
      <c r="U65" s="163">
        <v>0</v>
      </c>
      <c r="V65" s="167"/>
      <c r="W65" s="162"/>
      <c r="X65" s="163">
        <v>0</v>
      </c>
      <c r="Y65" s="168"/>
      <c r="Z65" s="170"/>
    </row>
    <row r="66" spans="1:26" x14ac:dyDescent="0.3">
      <c r="A66" s="154"/>
      <c r="B66" s="155"/>
      <c r="C66" s="155"/>
      <c r="D66" s="155"/>
      <c r="E66" s="156"/>
      <c r="F66" s="157"/>
      <c r="G66" s="158"/>
      <c r="H66" s="159"/>
      <c r="I66" s="160"/>
      <c r="J66" s="202"/>
      <c r="K66" s="162"/>
      <c r="L66" s="163">
        <v>0</v>
      </c>
      <c r="M66" s="163">
        <v>0</v>
      </c>
      <c r="N66" s="164">
        <f>SUMPRODUCT(L66,M66)</f>
        <v>0</v>
      </c>
      <c r="O66" s="165"/>
      <c r="P66" s="166"/>
      <c r="Q66" s="166"/>
      <c r="R66" s="166"/>
      <c r="S66" s="166"/>
      <c r="T66" s="160"/>
      <c r="U66" s="163">
        <v>0</v>
      </c>
      <c r="V66" s="167"/>
      <c r="W66" s="160"/>
      <c r="X66" s="163">
        <v>0</v>
      </c>
      <c r="Y66" s="168"/>
      <c r="Z66" s="170"/>
    </row>
    <row r="67" spans="1:26" ht="15" thickBot="1" x14ac:dyDescent="0.35">
      <c r="A67" s="171"/>
      <c r="B67" s="172"/>
      <c r="C67" s="172"/>
      <c r="D67" s="172"/>
      <c r="E67" s="173"/>
      <c r="F67" s="174"/>
      <c r="G67" s="175"/>
      <c r="H67" s="176"/>
      <c r="I67" s="160"/>
      <c r="J67" s="202"/>
      <c r="K67" s="162"/>
      <c r="L67" s="163">
        <v>0</v>
      </c>
      <c r="M67" s="163">
        <v>0</v>
      </c>
      <c r="N67" s="164">
        <f>SUMPRODUCT(L67,M67)</f>
        <v>0</v>
      </c>
      <c r="O67" s="177"/>
      <c r="P67" s="178"/>
      <c r="Q67" s="178"/>
      <c r="R67" s="178"/>
      <c r="S67" s="178"/>
      <c r="T67" s="179"/>
      <c r="U67" s="180">
        <v>0</v>
      </c>
      <c r="V67" s="181"/>
      <c r="W67" s="179"/>
      <c r="X67" s="180">
        <v>0</v>
      </c>
      <c r="Y67" s="182"/>
      <c r="Z67" s="183"/>
    </row>
    <row r="68" spans="1:26" x14ac:dyDescent="0.3">
      <c r="A68" s="138">
        <v>44022</v>
      </c>
      <c r="B68" s="139"/>
      <c r="C68" s="139"/>
      <c r="D68" s="139">
        <f>SUM(C68-B68)</f>
        <v>0</v>
      </c>
      <c r="E68" s="140">
        <f>SUM(D68)</f>
        <v>0</v>
      </c>
      <c r="F68" s="141">
        <v>1505</v>
      </c>
      <c r="G68" s="142">
        <f>PRODUCT(E68,36000)</f>
        <v>0</v>
      </c>
      <c r="H68" s="143"/>
      <c r="I68" s="144"/>
      <c r="J68" s="201"/>
      <c r="K68" s="146"/>
      <c r="L68" s="147">
        <v>0</v>
      </c>
      <c r="M68" s="147">
        <v>0</v>
      </c>
      <c r="N68" s="148">
        <f>SUMPRODUCT(L68,M68)</f>
        <v>0</v>
      </c>
      <c r="O68" s="149">
        <f>SUM(N68:N74)</f>
        <v>0</v>
      </c>
      <c r="P68" s="150"/>
      <c r="Q68" s="150"/>
      <c r="R68" s="150"/>
      <c r="S68" s="150"/>
      <c r="T68" s="146"/>
      <c r="U68" s="147">
        <v>0</v>
      </c>
      <c r="V68" s="151">
        <f>U68:U74</f>
        <v>0</v>
      </c>
      <c r="W68" s="146"/>
      <c r="X68" s="147">
        <v>0</v>
      </c>
      <c r="Y68" s="152">
        <f>X68:X74</f>
        <v>0</v>
      </c>
      <c r="Z68" s="153">
        <f>G68+O68+V68-Y68</f>
        <v>0</v>
      </c>
    </row>
    <row r="69" spans="1:26" x14ac:dyDescent="0.3">
      <c r="A69" s="154"/>
      <c r="B69" s="155"/>
      <c r="C69" s="155"/>
      <c r="D69" s="155"/>
      <c r="E69" s="156"/>
      <c r="F69" s="157"/>
      <c r="G69" s="158"/>
      <c r="H69" s="159"/>
      <c r="I69" s="160"/>
      <c r="J69" s="202"/>
      <c r="K69" s="162"/>
      <c r="L69" s="163">
        <v>0</v>
      </c>
      <c r="M69" s="163">
        <v>0</v>
      </c>
      <c r="N69" s="164">
        <f>SUMPRODUCT(L69,M69)</f>
        <v>0</v>
      </c>
      <c r="O69" s="165"/>
      <c r="P69" s="166"/>
      <c r="Q69" s="166"/>
      <c r="R69" s="166"/>
      <c r="S69" s="166"/>
      <c r="T69" s="162"/>
      <c r="U69" s="163">
        <v>0</v>
      </c>
      <c r="V69" s="167"/>
      <c r="W69" s="162"/>
      <c r="X69" s="163">
        <v>0</v>
      </c>
      <c r="Y69" s="168"/>
      <c r="Z69" s="169"/>
    </row>
    <row r="70" spans="1:26" x14ac:dyDescent="0.3">
      <c r="A70" s="154"/>
      <c r="B70" s="155"/>
      <c r="C70" s="155"/>
      <c r="D70" s="155"/>
      <c r="E70" s="156"/>
      <c r="F70" s="157"/>
      <c r="G70" s="158"/>
      <c r="H70" s="159"/>
      <c r="I70" s="160"/>
      <c r="J70" s="202"/>
      <c r="K70" s="162"/>
      <c r="L70" s="163">
        <v>0</v>
      </c>
      <c r="M70" s="163">
        <v>0</v>
      </c>
      <c r="N70" s="164">
        <f>SUMPRODUCT(L70,M70)</f>
        <v>0</v>
      </c>
      <c r="O70" s="165"/>
      <c r="P70" s="166"/>
      <c r="Q70" s="166"/>
      <c r="R70" s="166"/>
      <c r="S70" s="166"/>
      <c r="T70" s="162"/>
      <c r="U70" s="163">
        <v>0</v>
      </c>
      <c r="V70" s="167"/>
      <c r="W70" s="162"/>
      <c r="X70" s="163">
        <v>0</v>
      </c>
      <c r="Y70" s="168"/>
      <c r="Z70" s="169"/>
    </row>
    <row r="71" spans="1:26" x14ac:dyDescent="0.3">
      <c r="A71" s="154"/>
      <c r="B71" s="155"/>
      <c r="C71" s="155"/>
      <c r="D71" s="155"/>
      <c r="E71" s="156"/>
      <c r="F71" s="157"/>
      <c r="G71" s="158"/>
      <c r="H71" s="159"/>
      <c r="I71" s="160"/>
      <c r="J71" s="202"/>
      <c r="K71" s="162"/>
      <c r="L71" s="163">
        <v>0</v>
      </c>
      <c r="M71" s="163">
        <v>0</v>
      </c>
      <c r="N71" s="164">
        <f>SUMPRODUCT(L71,M71)</f>
        <v>0</v>
      </c>
      <c r="O71" s="165"/>
      <c r="P71" s="166"/>
      <c r="Q71" s="166"/>
      <c r="R71" s="166"/>
      <c r="S71" s="166"/>
      <c r="T71" s="162"/>
      <c r="U71" s="163">
        <v>0</v>
      </c>
      <c r="V71" s="167"/>
      <c r="W71" s="162"/>
      <c r="X71" s="163">
        <v>0</v>
      </c>
      <c r="Y71" s="168"/>
      <c r="Z71" s="170"/>
    </row>
    <row r="72" spans="1:26" x14ac:dyDescent="0.3">
      <c r="A72" s="154"/>
      <c r="B72" s="155"/>
      <c r="C72" s="155"/>
      <c r="D72" s="155"/>
      <c r="E72" s="156"/>
      <c r="F72" s="157"/>
      <c r="G72" s="158"/>
      <c r="H72" s="159"/>
      <c r="I72" s="160"/>
      <c r="J72" s="202"/>
      <c r="K72" s="162"/>
      <c r="L72" s="163">
        <v>0</v>
      </c>
      <c r="M72" s="163">
        <v>0</v>
      </c>
      <c r="N72" s="164">
        <f>SUMPRODUCT(L72,M72)</f>
        <v>0</v>
      </c>
      <c r="O72" s="165"/>
      <c r="P72" s="166"/>
      <c r="Q72" s="166"/>
      <c r="R72" s="166"/>
      <c r="S72" s="166"/>
      <c r="T72" s="162"/>
      <c r="U72" s="163">
        <v>0</v>
      </c>
      <c r="V72" s="167"/>
      <c r="W72" s="162"/>
      <c r="X72" s="163">
        <v>0</v>
      </c>
      <c r="Y72" s="168"/>
      <c r="Z72" s="170"/>
    </row>
    <row r="73" spans="1:26" x14ac:dyDescent="0.3">
      <c r="A73" s="154"/>
      <c r="B73" s="155"/>
      <c r="C73" s="155"/>
      <c r="D73" s="155"/>
      <c r="E73" s="156"/>
      <c r="F73" s="157"/>
      <c r="G73" s="158"/>
      <c r="H73" s="159"/>
      <c r="I73" s="160"/>
      <c r="J73" s="202"/>
      <c r="K73" s="162"/>
      <c r="L73" s="163">
        <v>0</v>
      </c>
      <c r="M73" s="163">
        <v>0</v>
      </c>
      <c r="N73" s="164">
        <f>SUMPRODUCT(L73,M73)</f>
        <v>0</v>
      </c>
      <c r="O73" s="165"/>
      <c r="P73" s="166"/>
      <c r="Q73" s="166"/>
      <c r="R73" s="166"/>
      <c r="S73" s="166"/>
      <c r="T73" s="160"/>
      <c r="U73" s="163">
        <v>0</v>
      </c>
      <c r="V73" s="167"/>
      <c r="W73" s="160"/>
      <c r="X73" s="163">
        <v>0</v>
      </c>
      <c r="Y73" s="168"/>
      <c r="Z73" s="170"/>
    </row>
    <row r="74" spans="1:26" ht="15" thickBot="1" x14ac:dyDescent="0.35">
      <c r="A74" s="171"/>
      <c r="B74" s="172"/>
      <c r="C74" s="172"/>
      <c r="D74" s="172"/>
      <c r="E74" s="173"/>
      <c r="F74" s="174"/>
      <c r="G74" s="175"/>
      <c r="H74" s="176"/>
      <c r="I74" s="179"/>
      <c r="J74" s="203"/>
      <c r="K74" s="185"/>
      <c r="L74" s="180">
        <v>0</v>
      </c>
      <c r="M74" s="180">
        <v>0</v>
      </c>
      <c r="N74" s="186">
        <f>SUMPRODUCT(L74,M74)</f>
        <v>0</v>
      </c>
      <c r="O74" s="177"/>
      <c r="P74" s="178"/>
      <c r="Q74" s="178"/>
      <c r="R74" s="178"/>
      <c r="S74" s="178"/>
      <c r="T74" s="179"/>
      <c r="U74" s="180">
        <v>0</v>
      </c>
      <c r="V74" s="181"/>
      <c r="W74" s="179"/>
      <c r="X74" s="180">
        <v>0</v>
      </c>
      <c r="Y74" s="182"/>
      <c r="Z74" s="183"/>
    </row>
    <row r="75" spans="1:26" ht="24" customHeight="1" thickBot="1" x14ac:dyDescent="0.35">
      <c r="A75" s="187" t="s">
        <v>23</v>
      </c>
      <c r="B75" s="188"/>
      <c r="C75" s="188"/>
      <c r="D75" s="188"/>
      <c r="E75" s="189"/>
      <c r="F75" s="190"/>
      <c r="G75" s="191">
        <f>SUM(G54:G74)</f>
        <v>0</v>
      </c>
      <c r="H75" s="192"/>
      <c r="I75" s="193"/>
      <c r="J75" s="204"/>
      <c r="K75" s="193"/>
      <c r="L75" s="195"/>
      <c r="M75" s="195"/>
      <c r="N75" s="196"/>
      <c r="O75" s="197">
        <f>SUM(O54:O74)</f>
        <v>0</v>
      </c>
      <c r="P75" s="193"/>
      <c r="Q75" s="193"/>
      <c r="R75" s="193"/>
      <c r="S75" s="193"/>
      <c r="T75" s="193"/>
      <c r="U75" s="195"/>
      <c r="V75" s="198"/>
      <c r="W75" s="193"/>
      <c r="X75" s="195"/>
      <c r="Y75" s="199"/>
      <c r="Z75" s="197">
        <f>SUM(Z54:Z74)</f>
        <v>0</v>
      </c>
    </row>
    <row r="76" spans="1:26" x14ac:dyDescent="0.3">
      <c r="A76" s="138">
        <v>44023</v>
      </c>
      <c r="B76" s="139"/>
      <c r="C76" s="139"/>
      <c r="D76" s="139">
        <f>SUM(C76-B76)</f>
        <v>0</v>
      </c>
      <c r="E76" s="140">
        <f>SUM(D76)</f>
        <v>0</v>
      </c>
      <c r="F76" s="141">
        <v>1506</v>
      </c>
      <c r="G76" s="142">
        <f>PRODUCT(E76,36000)</f>
        <v>0</v>
      </c>
      <c r="H76" s="143"/>
      <c r="I76" s="144"/>
      <c r="J76" s="201"/>
      <c r="K76" s="146"/>
      <c r="L76" s="147">
        <v>0</v>
      </c>
      <c r="M76" s="147">
        <v>0</v>
      </c>
      <c r="N76" s="148">
        <f>SUMPRODUCT(L76,M76)</f>
        <v>0</v>
      </c>
      <c r="O76" s="149">
        <f>SUM(N76:N82)</f>
        <v>0</v>
      </c>
      <c r="P76" s="150"/>
      <c r="Q76" s="150"/>
      <c r="R76" s="150"/>
      <c r="S76" s="150"/>
      <c r="T76" s="146"/>
      <c r="U76" s="147">
        <v>0</v>
      </c>
      <c r="V76" s="151">
        <f>U76:U82</f>
        <v>0</v>
      </c>
      <c r="W76" s="146"/>
      <c r="X76" s="147">
        <v>0</v>
      </c>
      <c r="Y76" s="152">
        <f>X76:X82</f>
        <v>0</v>
      </c>
      <c r="Z76" s="153">
        <f>G76+O76+V76-Y76</f>
        <v>0</v>
      </c>
    </row>
    <row r="77" spans="1:26" x14ac:dyDescent="0.3">
      <c r="A77" s="154"/>
      <c r="B77" s="155"/>
      <c r="C77" s="155"/>
      <c r="D77" s="155"/>
      <c r="E77" s="156"/>
      <c r="F77" s="157"/>
      <c r="G77" s="158"/>
      <c r="H77" s="159"/>
      <c r="I77" s="160"/>
      <c r="J77" s="202"/>
      <c r="K77" s="162"/>
      <c r="L77" s="163">
        <v>0</v>
      </c>
      <c r="M77" s="163">
        <v>0</v>
      </c>
      <c r="N77" s="164">
        <f>SUMPRODUCT(L77,M77)</f>
        <v>0</v>
      </c>
      <c r="O77" s="165"/>
      <c r="P77" s="166"/>
      <c r="Q77" s="166"/>
      <c r="R77" s="166"/>
      <c r="S77" s="166"/>
      <c r="T77" s="162"/>
      <c r="U77" s="163">
        <v>0</v>
      </c>
      <c r="V77" s="167"/>
      <c r="W77" s="162"/>
      <c r="X77" s="163">
        <v>0</v>
      </c>
      <c r="Y77" s="168"/>
      <c r="Z77" s="169"/>
    </row>
    <row r="78" spans="1:26" x14ac:dyDescent="0.3">
      <c r="A78" s="154"/>
      <c r="B78" s="155"/>
      <c r="C78" s="155"/>
      <c r="D78" s="155"/>
      <c r="E78" s="156"/>
      <c r="F78" s="157"/>
      <c r="G78" s="158"/>
      <c r="H78" s="159"/>
      <c r="I78" s="160"/>
      <c r="J78" s="202"/>
      <c r="K78" s="162"/>
      <c r="L78" s="163">
        <v>0</v>
      </c>
      <c r="M78" s="163">
        <v>0</v>
      </c>
      <c r="N78" s="164">
        <f>SUMPRODUCT(L78,M78)</f>
        <v>0</v>
      </c>
      <c r="O78" s="165"/>
      <c r="P78" s="166"/>
      <c r="Q78" s="166"/>
      <c r="R78" s="166"/>
      <c r="S78" s="166"/>
      <c r="T78" s="162"/>
      <c r="U78" s="163">
        <v>0</v>
      </c>
      <c r="V78" s="167"/>
      <c r="W78" s="162"/>
      <c r="X78" s="163">
        <v>0</v>
      </c>
      <c r="Y78" s="168"/>
      <c r="Z78" s="169"/>
    </row>
    <row r="79" spans="1:26" x14ac:dyDescent="0.3">
      <c r="A79" s="154"/>
      <c r="B79" s="155"/>
      <c r="C79" s="155"/>
      <c r="D79" s="155"/>
      <c r="E79" s="156"/>
      <c r="F79" s="157"/>
      <c r="G79" s="158"/>
      <c r="H79" s="159"/>
      <c r="I79" s="160"/>
      <c r="J79" s="202"/>
      <c r="K79" s="162"/>
      <c r="L79" s="163">
        <v>0</v>
      </c>
      <c r="M79" s="163">
        <v>0</v>
      </c>
      <c r="N79" s="164">
        <f>SUMPRODUCT(L79,M79)</f>
        <v>0</v>
      </c>
      <c r="O79" s="165"/>
      <c r="P79" s="166"/>
      <c r="Q79" s="166"/>
      <c r="R79" s="166"/>
      <c r="S79" s="166"/>
      <c r="T79" s="162"/>
      <c r="U79" s="163">
        <v>0</v>
      </c>
      <c r="V79" s="167"/>
      <c r="W79" s="162"/>
      <c r="X79" s="163">
        <v>0</v>
      </c>
      <c r="Y79" s="168"/>
      <c r="Z79" s="170"/>
    </row>
    <row r="80" spans="1:26" x14ac:dyDescent="0.3">
      <c r="A80" s="154"/>
      <c r="B80" s="155"/>
      <c r="C80" s="155"/>
      <c r="D80" s="155"/>
      <c r="E80" s="156"/>
      <c r="F80" s="157"/>
      <c r="G80" s="158"/>
      <c r="H80" s="159"/>
      <c r="I80" s="160"/>
      <c r="J80" s="202"/>
      <c r="K80" s="162"/>
      <c r="L80" s="163">
        <v>0</v>
      </c>
      <c r="M80" s="163">
        <v>0</v>
      </c>
      <c r="N80" s="164">
        <f>SUMPRODUCT(L80,M80)</f>
        <v>0</v>
      </c>
      <c r="O80" s="165"/>
      <c r="P80" s="166"/>
      <c r="Q80" s="166"/>
      <c r="R80" s="166"/>
      <c r="S80" s="166"/>
      <c r="T80" s="162"/>
      <c r="U80" s="163">
        <v>0</v>
      </c>
      <c r="V80" s="167"/>
      <c r="W80" s="162"/>
      <c r="X80" s="163">
        <v>0</v>
      </c>
      <c r="Y80" s="168"/>
      <c r="Z80" s="170"/>
    </row>
    <row r="81" spans="1:26" x14ac:dyDescent="0.3">
      <c r="A81" s="154"/>
      <c r="B81" s="155"/>
      <c r="C81" s="155"/>
      <c r="D81" s="155"/>
      <c r="E81" s="156"/>
      <c r="F81" s="157"/>
      <c r="G81" s="158"/>
      <c r="H81" s="159"/>
      <c r="I81" s="160"/>
      <c r="J81" s="202"/>
      <c r="K81" s="162"/>
      <c r="L81" s="163">
        <v>0</v>
      </c>
      <c r="M81" s="163">
        <v>0</v>
      </c>
      <c r="N81" s="164">
        <f>SUMPRODUCT(L81,M81)</f>
        <v>0</v>
      </c>
      <c r="O81" s="165"/>
      <c r="P81" s="166"/>
      <c r="Q81" s="166"/>
      <c r="R81" s="166"/>
      <c r="S81" s="166"/>
      <c r="T81" s="160"/>
      <c r="U81" s="163">
        <v>0</v>
      </c>
      <c r="V81" s="167"/>
      <c r="W81" s="160"/>
      <c r="X81" s="163">
        <v>0</v>
      </c>
      <c r="Y81" s="168"/>
      <c r="Z81" s="170"/>
    </row>
    <row r="82" spans="1:26" ht="15" thickBot="1" x14ac:dyDescent="0.35">
      <c r="A82" s="171"/>
      <c r="B82" s="172"/>
      <c r="C82" s="172"/>
      <c r="D82" s="172"/>
      <c r="E82" s="173"/>
      <c r="F82" s="174"/>
      <c r="G82" s="175"/>
      <c r="H82" s="176"/>
      <c r="I82" s="160"/>
      <c r="J82" s="202"/>
      <c r="K82" s="162"/>
      <c r="L82" s="163">
        <v>0</v>
      </c>
      <c r="M82" s="163">
        <v>0</v>
      </c>
      <c r="N82" s="164">
        <f>SUMPRODUCT(L82,M82)</f>
        <v>0</v>
      </c>
      <c r="O82" s="177"/>
      <c r="P82" s="178"/>
      <c r="Q82" s="178"/>
      <c r="R82" s="178"/>
      <c r="S82" s="178"/>
      <c r="T82" s="179"/>
      <c r="U82" s="180">
        <v>0</v>
      </c>
      <c r="V82" s="181"/>
      <c r="W82" s="179"/>
      <c r="X82" s="180">
        <v>0</v>
      </c>
      <c r="Y82" s="182"/>
      <c r="Z82" s="183"/>
    </row>
    <row r="83" spans="1:26" x14ac:dyDescent="0.3">
      <c r="A83" s="138">
        <v>44024</v>
      </c>
      <c r="B83" s="139"/>
      <c r="C83" s="139"/>
      <c r="D83" s="139">
        <f>SUM(C83-B83)</f>
        <v>0</v>
      </c>
      <c r="E83" s="140">
        <f>SUM(D83)</f>
        <v>0</v>
      </c>
      <c r="F83" s="141">
        <v>1507</v>
      </c>
      <c r="G83" s="142">
        <f>PRODUCT(E83,36000)</f>
        <v>0</v>
      </c>
      <c r="H83" s="143"/>
      <c r="I83" s="144"/>
      <c r="J83" s="201"/>
      <c r="K83" s="146"/>
      <c r="L83" s="147">
        <v>0</v>
      </c>
      <c r="M83" s="147">
        <v>0</v>
      </c>
      <c r="N83" s="148">
        <f>SUMPRODUCT(L83,M83)</f>
        <v>0</v>
      </c>
      <c r="O83" s="149">
        <f>SUM(N83:N89)</f>
        <v>0</v>
      </c>
      <c r="P83" s="150"/>
      <c r="Q83" s="150"/>
      <c r="R83" s="150"/>
      <c r="S83" s="150"/>
      <c r="T83" s="146"/>
      <c r="U83" s="147">
        <v>0</v>
      </c>
      <c r="V83" s="151">
        <f>U83:U89</f>
        <v>0</v>
      </c>
      <c r="W83" s="146"/>
      <c r="X83" s="147">
        <v>0</v>
      </c>
      <c r="Y83" s="152">
        <f>X83:X89</f>
        <v>0</v>
      </c>
      <c r="Z83" s="153">
        <f>G83+O83+V83-Y83</f>
        <v>0</v>
      </c>
    </row>
    <row r="84" spans="1:26" x14ac:dyDescent="0.3">
      <c r="A84" s="154"/>
      <c r="B84" s="155"/>
      <c r="C84" s="155"/>
      <c r="D84" s="155"/>
      <c r="E84" s="156"/>
      <c r="F84" s="157"/>
      <c r="G84" s="158"/>
      <c r="H84" s="159"/>
      <c r="I84" s="160"/>
      <c r="J84" s="202"/>
      <c r="K84" s="162"/>
      <c r="L84" s="163">
        <v>0</v>
      </c>
      <c r="M84" s="163">
        <v>0</v>
      </c>
      <c r="N84" s="164">
        <f>SUMPRODUCT(L84,M84)</f>
        <v>0</v>
      </c>
      <c r="O84" s="165"/>
      <c r="P84" s="166"/>
      <c r="Q84" s="166"/>
      <c r="R84" s="166"/>
      <c r="S84" s="166"/>
      <c r="T84" s="162"/>
      <c r="U84" s="163">
        <v>0</v>
      </c>
      <c r="V84" s="167"/>
      <c r="W84" s="162"/>
      <c r="X84" s="163">
        <v>0</v>
      </c>
      <c r="Y84" s="168"/>
      <c r="Z84" s="169"/>
    </row>
    <row r="85" spans="1:26" x14ac:dyDescent="0.3">
      <c r="A85" s="154"/>
      <c r="B85" s="155"/>
      <c r="C85" s="155"/>
      <c r="D85" s="155"/>
      <c r="E85" s="156"/>
      <c r="F85" s="157"/>
      <c r="G85" s="158"/>
      <c r="H85" s="159"/>
      <c r="I85" s="160"/>
      <c r="J85" s="202"/>
      <c r="K85" s="162"/>
      <c r="L85" s="163">
        <v>0</v>
      </c>
      <c r="M85" s="163">
        <v>0</v>
      </c>
      <c r="N85" s="164">
        <f>SUMPRODUCT(L85,M85)</f>
        <v>0</v>
      </c>
      <c r="O85" s="165"/>
      <c r="P85" s="166"/>
      <c r="Q85" s="166"/>
      <c r="R85" s="166"/>
      <c r="S85" s="166"/>
      <c r="T85" s="162"/>
      <c r="U85" s="163">
        <v>0</v>
      </c>
      <c r="V85" s="167"/>
      <c r="W85" s="162"/>
      <c r="X85" s="163">
        <v>0</v>
      </c>
      <c r="Y85" s="168"/>
      <c r="Z85" s="169"/>
    </row>
    <row r="86" spans="1:26" x14ac:dyDescent="0.3">
      <c r="A86" s="154"/>
      <c r="B86" s="155"/>
      <c r="C86" s="155"/>
      <c r="D86" s="155"/>
      <c r="E86" s="156"/>
      <c r="F86" s="157"/>
      <c r="G86" s="158"/>
      <c r="H86" s="159"/>
      <c r="I86" s="160"/>
      <c r="J86" s="202"/>
      <c r="K86" s="162"/>
      <c r="L86" s="163">
        <v>0</v>
      </c>
      <c r="M86" s="163">
        <v>0</v>
      </c>
      <c r="N86" s="164">
        <f>SUMPRODUCT(L86,M86)</f>
        <v>0</v>
      </c>
      <c r="O86" s="165"/>
      <c r="P86" s="166"/>
      <c r="Q86" s="166"/>
      <c r="R86" s="166"/>
      <c r="S86" s="166"/>
      <c r="T86" s="162"/>
      <c r="U86" s="163">
        <v>0</v>
      </c>
      <c r="V86" s="167"/>
      <c r="W86" s="162"/>
      <c r="X86" s="163">
        <v>0</v>
      </c>
      <c r="Y86" s="168"/>
      <c r="Z86" s="170"/>
    </row>
    <row r="87" spans="1:26" x14ac:dyDescent="0.3">
      <c r="A87" s="154"/>
      <c r="B87" s="155"/>
      <c r="C87" s="155"/>
      <c r="D87" s="155"/>
      <c r="E87" s="156"/>
      <c r="F87" s="157"/>
      <c r="G87" s="158"/>
      <c r="H87" s="159"/>
      <c r="I87" s="160"/>
      <c r="J87" s="202"/>
      <c r="K87" s="162"/>
      <c r="L87" s="163">
        <v>0</v>
      </c>
      <c r="M87" s="163">
        <v>0</v>
      </c>
      <c r="N87" s="164">
        <f>SUMPRODUCT(L87,M87)</f>
        <v>0</v>
      </c>
      <c r="O87" s="165"/>
      <c r="P87" s="166"/>
      <c r="Q87" s="166"/>
      <c r="R87" s="166"/>
      <c r="S87" s="166"/>
      <c r="T87" s="162"/>
      <c r="U87" s="163">
        <v>0</v>
      </c>
      <c r="V87" s="167"/>
      <c r="W87" s="162"/>
      <c r="X87" s="163">
        <v>0</v>
      </c>
      <c r="Y87" s="168"/>
      <c r="Z87" s="170"/>
    </row>
    <row r="88" spans="1:26" x14ac:dyDescent="0.3">
      <c r="A88" s="154"/>
      <c r="B88" s="155"/>
      <c r="C88" s="155"/>
      <c r="D88" s="155"/>
      <c r="E88" s="156"/>
      <c r="F88" s="157"/>
      <c r="G88" s="158"/>
      <c r="H88" s="159"/>
      <c r="I88" s="160"/>
      <c r="J88" s="202"/>
      <c r="K88" s="162"/>
      <c r="L88" s="163">
        <v>0</v>
      </c>
      <c r="M88" s="163">
        <v>0</v>
      </c>
      <c r="N88" s="164">
        <f>SUMPRODUCT(L88,M88)</f>
        <v>0</v>
      </c>
      <c r="O88" s="165"/>
      <c r="P88" s="166"/>
      <c r="Q88" s="166"/>
      <c r="R88" s="166"/>
      <c r="S88" s="166"/>
      <c r="T88" s="160"/>
      <c r="U88" s="163">
        <v>0</v>
      </c>
      <c r="V88" s="167"/>
      <c r="W88" s="160"/>
      <c r="X88" s="163">
        <v>0</v>
      </c>
      <c r="Y88" s="168"/>
      <c r="Z88" s="170"/>
    </row>
    <row r="89" spans="1:26" ht="15" thickBot="1" x14ac:dyDescent="0.35">
      <c r="A89" s="171"/>
      <c r="B89" s="172"/>
      <c r="C89" s="172"/>
      <c r="D89" s="172"/>
      <c r="E89" s="173"/>
      <c r="F89" s="174"/>
      <c r="G89" s="175"/>
      <c r="H89" s="176"/>
      <c r="I89" s="160"/>
      <c r="J89" s="202"/>
      <c r="K89" s="162"/>
      <c r="L89" s="163">
        <v>0</v>
      </c>
      <c r="M89" s="163">
        <v>0</v>
      </c>
      <c r="N89" s="164">
        <f>SUMPRODUCT(L89,M89)</f>
        <v>0</v>
      </c>
      <c r="O89" s="177"/>
      <c r="P89" s="178"/>
      <c r="Q89" s="178"/>
      <c r="R89" s="178"/>
      <c r="S89" s="178"/>
      <c r="T89" s="179"/>
      <c r="U89" s="180">
        <v>0</v>
      </c>
      <c r="V89" s="181"/>
      <c r="W89" s="179"/>
      <c r="X89" s="180">
        <v>0</v>
      </c>
      <c r="Y89" s="182"/>
      <c r="Z89" s="183"/>
    </row>
    <row r="90" spans="1:26" x14ac:dyDescent="0.3">
      <c r="A90" s="138">
        <v>44025</v>
      </c>
      <c r="B90" s="139"/>
      <c r="C90" s="139"/>
      <c r="D90" s="139">
        <f>SUM(C90-B90)</f>
        <v>0</v>
      </c>
      <c r="E90" s="140">
        <f>SUM(D90)</f>
        <v>0</v>
      </c>
      <c r="F90" s="141">
        <v>1508</v>
      </c>
      <c r="G90" s="142">
        <f>PRODUCT(E90,36000)</f>
        <v>0</v>
      </c>
      <c r="H90" s="143"/>
      <c r="I90" s="144"/>
      <c r="J90" s="201"/>
      <c r="K90" s="146"/>
      <c r="L90" s="147">
        <v>0</v>
      </c>
      <c r="M90" s="147">
        <v>0</v>
      </c>
      <c r="N90" s="148">
        <f>SUMPRODUCT(L90,M90)</f>
        <v>0</v>
      </c>
      <c r="O90" s="149">
        <f>SUM(N90:N96)</f>
        <v>0</v>
      </c>
      <c r="P90" s="150"/>
      <c r="Q90" s="150"/>
      <c r="R90" s="150"/>
      <c r="S90" s="150"/>
      <c r="T90" s="146"/>
      <c r="U90" s="147">
        <v>0</v>
      </c>
      <c r="V90" s="151">
        <f>U90:U96</f>
        <v>0</v>
      </c>
      <c r="W90" s="146"/>
      <c r="X90" s="147">
        <v>0</v>
      </c>
      <c r="Y90" s="152">
        <f>X90:X96</f>
        <v>0</v>
      </c>
      <c r="Z90" s="153">
        <f>G90+O90+V90-Y90</f>
        <v>0</v>
      </c>
    </row>
    <row r="91" spans="1:26" x14ac:dyDescent="0.3">
      <c r="A91" s="154"/>
      <c r="B91" s="155"/>
      <c r="C91" s="155"/>
      <c r="D91" s="155"/>
      <c r="E91" s="156"/>
      <c r="F91" s="157"/>
      <c r="G91" s="158"/>
      <c r="H91" s="159"/>
      <c r="I91" s="160"/>
      <c r="J91" s="202"/>
      <c r="K91" s="162"/>
      <c r="L91" s="163">
        <v>0</v>
      </c>
      <c r="M91" s="163">
        <v>0</v>
      </c>
      <c r="N91" s="164">
        <f>SUMPRODUCT(L91,M91)</f>
        <v>0</v>
      </c>
      <c r="O91" s="165"/>
      <c r="P91" s="166"/>
      <c r="Q91" s="166"/>
      <c r="R91" s="166"/>
      <c r="S91" s="166"/>
      <c r="T91" s="162"/>
      <c r="U91" s="163">
        <v>0</v>
      </c>
      <c r="V91" s="167"/>
      <c r="W91" s="162"/>
      <c r="X91" s="163">
        <v>0</v>
      </c>
      <c r="Y91" s="168"/>
      <c r="Z91" s="169"/>
    </row>
    <row r="92" spans="1:26" x14ac:dyDescent="0.3">
      <c r="A92" s="154"/>
      <c r="B92" s="155"/>
      <c r="C92" s="155"/>
      <c r="D92" s="155"/>
      <c r="E92" s="156"/>
      <c r="F92" s="157"/>
      <c r="G92" s="158"/>
      <c r="H92" s="159"/>
      <c r="I92" s="160"/>
      <c r="J92" s="202"/>
      <c r="K92" s="162"/>
      <c r="L92" s="163">
        <v>0</v>
      </c>
      <c r="M92" s="163">
        <v>0</v>
      </c>
      <c r="N92" s="164">
        <f>SUMPRODUCT(L92,M92)</f>
        <v>0</v>
      </c>
      <c r="O92" s="165"/>
      <c r="P92" s="166"/>
      <c r="Q92" s="166"/>
      <c r="R92" s="166"/>
      <c r="S92" s="166"/>
      <c r="T92" s="162"/>
      <c r="U92" s="163">
        <v>0</v>
      </c>
      <c r="V92" s="167"/>
      <c r="W92" s="162"/>
      <c r="X92" s="163">
        <v>0</v>
      </c>
      <c r="Y92" s="168"/>
      <c r="Z92" s="169"/>
    </row>
    <row r="93" spans="1:26" x14ac:dyDescent="0.3">
      <c r="A93" s="154"/>
      <c r="B93" s="155"/>
      <c r="C93" s="155"/>
      <c r="D93" s="155"/>
      <c r="E93" s="156"/>
      <c r="F93" s="157"/>
      <c r="G93" s="158"/>
      <c r="H93" s="159"/>
      <c r="I93" s="160"/>
      <c r="J93" s="202"/>
      <c r="K93" s="162"/>
      <c r="L93" s="163">
        <v>0</v>
      </c>
      <c r="M93" s="163">
        <v>0</v>
      </c>
      <c r="N93" s="164">
        <f>SUMPRODUCT(L93,M93)</f>
        <v>0</v>
      </c>
      <c r="O93" s="165"/>
      <c r="P93" s="166"/>
      <c r="Q93" s="166"/>
      <c r="R93" s="166"/>
      <c r="S93" s="166"/>
      <c r="T93" s="162"/>
      <c r="U93" s="163">
        <v>0</v>
      </c>
      <c r="V93" s="167"/>
      <c r="W93" s="162"/>
      <c r="X93" s="163">
        <v>0</v>
      </c>
      <c r="Y93" s="168"/>
      <c r="Z93" s="170"/>
    </row>
    <row r="94" spans="1:26" x14ac:dyDescent="0.3">
      <c r="A94" s="154"/>
      <c r="B94" s="155"/>
      <c r="C94" s="155"/>
      <c r="D94" s="155"/>
      <c r="E94" s="156"/>
      <c r="F94" s="157"/>
      <c r="G94" s="158"/>
      <c r="H94" s="159"/>
      <c r="I94" s="160"/>
      <c r="J94" s="202"/>
      <c r="K94" s="162"/>
      <c r="L94" s="163">
        <v>0</v>
      </c>
      <c r="M94" s="163">
        <v>0</v>
      </c>
      <c r="N94" s="164">
        <f>SUMPRODUCT(L94,M94)</f>
        <v>0</v>
      </c>
      <c r="O94" s="165"/>
      <c r="P94" s="166"/>
      <c r="Q94" s="166"/>
      <c r="R94" s="166"/>
      <c r="S94" s="166"/>
      <c r="T94" s="162"/>
      <c r="U94" s="163">
        <v>0</v>
      </c>
      <c r="V94" s="167"/>
      <c r="W94" s="162"/>
      <c r="X94" s="163">
        <v>0</v>
      </c>
      <c r="Y94" s="168"/>
      <c r="Z94" s="170"/>
    </row>
    <row r="95" spans="1:26" x14ac:dyDescent="0.3">
      <c r="A95" s="154"/>
      <c r="B95" s="155"/>
      <c r="C95" s="155"/>
      <c r="D95" s="155"/>
      <c r="E95" s="156"/>
      <c r="F95" s="157"/>
      <c r="G95" s="158"/>
      <c r="H95" s="159"/>
      <c r="I95" s="160"/>
      <c r="J95" s="202"/>
      <c r="K95" s="162"/>
      <c r="L95" s="163">
        <v>0</v>
      </c>
      <c r="M95" s="163">
        <v>0</v>
      </c>
      <c r="N95" s="164">
        <f>SUMPRODUCT(L95,M95)</f>
        <v>0</v>
      </c>
      <c r="O95" s="165"/>
      <c r="P95" s="166"/>
      <c r="Q95" s="166"/>
      <c r="R95" s="166"/>
      <c r="S95" s="166"/>
      <c r="T95" s="160"/>
      <c r="U95" s="163">
        <v>0</v>
      </c>
      <c r="V95" s="167"/>
      <c r="W95" s="160"/>
      <c r="X95" s="163">
        <v>0</v>
      </c>
      <c r="Y95" s="168"/>
      <c r="Z95" s="170"/>
    </row>
    <row r="96" spans="1:26" ht="15" thickBot="1" x14ac:dyDescent="0.35">
      <c r="A96" s="171"/>
      <c r="B96" s="172"/>
      <c r="C96" s="172"/>
      <c r="D96" s="172"/>
      <c r="E96" s="173"/>
      <c r="F96" s="174"/>
      <c r="G96" s="175"/>
      <c r="H96" s="176"/>
      <c r="I96" s="160"/>
      <c r="J96" s="202"/>
      <c r="K96" s="162"/>
      <c r="L96" s="163">
        <v>0</v>
      </c>
      <c r="M96" s="163">
        <v>0</v>
      </c>
      <c r="N96" s="164">
        <f>SUMPRODUCT(L96,M96)</f>
        <v>0</v>
      </c>
      <c r="O96" s="177"/>
      <c r="P96" s="178"/>
      <c r="Q96" s="178"/>
      <c r="R96" s="178"/>
      <c r="S96" s="178"/>
      <c r="T96" s="179"/>
      <c r="U96" s="180">
        <v>0</v>
      </c>
      <c r="V96" s="181"/>
      <c r="W96" s="179"/>
      <c r="X96" s="180">
        <v>0</v>
      </c>
      <c r="Y96" s="182"/>
      <c r="Z96" s="183"/>
    </row>
    <row r="97" spans="1:26" x14ac:dyDescent="0.3">
      <c r="A97" s="138">
        <v>44026</v>
      </c>
      <c r="B97" s="139"/>
      <c r="C97" s="139"/>
      <c r="D97" s="139">
        <f>SUM(C97-B97)</f>
        <v>0</v>
      </c>
      <c r="E97" s="140">
        <f>SUM(D97)</f>
        <v>0</v>
      </c>
      <c r="F97" s="141">
        <v>1509</v>
      </c>
      <c r="G97" s="142">
        <f>PRODUCT(E97,36000)</f>
        <v>0</v>
      </c>
      <c r="H97" s="143"/>
      <c r="I97" s="144"/>
      <c r="J97" s="201"/>
      <c r="K97" s="146"/>
      <c r="L97" s="147">
        <v>0</v>
      </c>
      <c r="M97" s="147">
        <v>0</v>
      </c>
      <c r="N97" s="148">
        <f>SUMPRODUCT(L97,M97)</f>
        <v>0</v>
      </c>
      <c r="O97" s="149">
        <f>SUM(N97:N103)</f>
        <v>0</v>
      </c>
      <c r="P97" s="150"/>
      <c r="Q97" s="150"/>
      <c r="R97" s="150"/>
      <c r="S97" s="150"/>
      <c r="T97" s="146"/>
      <c r="U97" s="147">
        <v>0</v>
      </c>
      <c r="V97" s="151">
        <f>U97:U103</f>
        <v>0</v>
      </c>
      <c r="W97" s="146"/>
      <c r="X97" s="147">
        <v>0</v>
      </c>
      <c r="Y97" s="152">
        <f>X97:X103</f>
        <v>0</v>
      </c>
      <c r="Z97" s="153">
        <f>G97+O97+V97-Y97</f>
        <v>0</v>
      </c>
    </row>
    <row r="98" spans="1:26" x14ac:dyDescent="0.3">
      <c r="A98" s="154"/>
      <c r="B98" s="155"/>
      <c r="C98" s="155"/>
      <c r="D98" s="155"/>
      <c r="E98" s="156"/>
      <c r="F98" s="157"/>
      <c r="G98" s="158"/>
      <c r="H98" s="159"/>
      <c r="I98" s="160"/>
      <c r="J98" s="202"/>
      <c r="K98" s="162"/>
      <c r="L98" s="163">
        <v>0</v>
      </c>
      <c r="M98" s="163">
        <v>0</v>
      </c>
      <c r="N98" s="164">
        <f>SUMPRODUCT(L98,M98)</f>
        <v>0</v>
      </c>
      <c r="O98" s="165"/>
      <c r="P98" s="166"/>
      <c r="Q98" s="166"/>
      <c r="R98" s="166"/>
      <c r="S98" s="166"/>
      <c r="T98" s="162"/>
      <c r="U98" s="163">
        <v>0</v>
      </c>
      <c r="V98" s="167"/>
      <c r="W98" s="162"/>
      <c r="X98" s="163">
        <v>0</v>
      </c>
      <c r="Y98" s="168"/>
      <c r="Z98" s="169"/>
    </row>
    <row r="99" spans="1:26" x14ac:dyDescent="0.3">
      <c r="A99" s="154"/>
      <c r="B99" s="155"/>
      <c r="C99" s="155"/>
      <c r="D99" s="155"/>
      <c r="E99" s="156"/>
      <c r="F99" s="157"/>
      <c r="G99" s="158"/>
      <c r="H99" s="159"/>
      <c r="I99" s="160"/>
      <c r="J99" s="202"/>
      <c r="K99" s="162"/>
      <c r="L99" s="163">
        <v>0</v>
      </c>
      <c r="M99" s="163">
        <v>0</v>
      </c>
      <c r="N99" s="164">
        <f>SUMPRODUCT(L99,M99)</f>
        <v>0</v>
      </c>
      <c r="O99" s="165"/>
      <c r="P99" s="166"/>
      <c r="Q99" s="166"/>
      <c r="R99" s="166"/>
      <c r="S99" s="166"/>
      <c r="T99" s="162"/>
      <c r="U99" s="163">
        <v>0</v>
      </c>
      <c r="V99" s="167"/>
      <c r="W99" s="162"/>
      <c r="X99" s="163">
        <v>0</v>
      </c>
      <c r="Y99" s="168"/>
      <c r="Z99" s="169"/>
    </row>
    <row r="100" spans="1:26" x14ac:dyDescent="0.3">
      <c r="A100" s="154"/>
      <c r="B100" s="155"/>
      <c r="C100" s="155"/>
      <c r="D100" s="155"/>
      <c r="E100" s="156"/>
      <c r="F100" s="157"/>
      <c r="G100" s="158"/>
      <c r="H100" s="159"/>
      <c r="I100" s="160"/>
      <c r="J100" s="202"/>
      <c r="K100" s="162"/>
      <c r="L100" s="163">
        <v>0</v>
      </c>
      <c r="M100" s="163">
        <v>0</v>
      </c>
      <c r="N100" s="164">
        <f>SUMPRODUCT(L100,M100)</f>
        <v>0</v>
      </c>
      <c r="O100" s="165"/>
      <c r="P100" s="166"/>
      <c r="Q100" s="166"/>
      <c r="R100" s="166"/>
      <c r="S100" s="166"/>
      <c r="T100" s="162"/>
      <c r="U100" s="163">
        <v>0</v>
      </c>
      <c r="V100" s="167"/>
      <c r="W100" s="162"/>
      <c r="X100" s="163">
        <v>0</v>
      </c>
      <c r="Y100" s="168"/>
      <c r="Z100" s="170"/>
    </row>
    <row r="101" spans="1:26" x14ac:dyDescent="0.3">
      <c r="A101" s="154"/>
      <c r="B101" s="155"/>
      <c r="C101" s="155"/>
      <c r="D101" s="155"/>
      <c r="E101" s="156"/>
      <c r="F101" s="157"/>
      <c r="G101" s="158"/>
      <c r="H101" s="159"/>
      <c r="I101" s="160"/>
      <c r="J101" s="202"/>
      <c r="K101" s="162"/>
      <c r="L101" s="163">
        <v>0</v>
      </c>
      <c r="M101" s="163">
        <v>0</v>
      </c>
      <c r="N101" s="164">
        <f>SUMPRODUCT(L101,M101)</f>
        <v>0</v>
      </c>
      <c r="O101" s="165"/>
      <c r="P101" s="166"/>
      <c r="Q101" s="166"/>
      <c r="R101" s="166"/>
      <c r="S101" s="166"/>
      <c r="T101" s="162"/>
      <c r="U101" s="163">
        <v>0</v>
      </c>
      <c r="V101" s="167"/>
      <c r="W101" s="162"/>
      <c r="X101" s="163">
        <v>0</v>
      </c>
      <c r="Y101" s="168"/>
      <c r="Z101" s="170"/>
    </row>
    <row r="102" spans="1:26" x14ac:dyDescent="0.3">
      <c r="A102" s="154"/>
      <c r="B102" s="155"/>
      <c r="C102" s="155"/>
      <c r="D102" s="155"/>
      <c r="E102" s="156"/>
      <c r="F102" s="157"/>
      <c r="G102" s="158"/>
      <c r="H102" s="159"/>
      <c r="I102" s="160"/>
      <c r="J102" s="202"/>
      <c r="K102" s="162"/>
      <c r="L102" s="163">
        <v>0</v>
      </c>
      <c r="M102" s="163">
        <v>0</v>
      </c>
      <c r="N102" s="164">
        <f>SUMPRODUCT(L102,M102)</f>
        <v>0</v>
      </c>
      <c r="O102" s="165"/>
      <c r="P102" s="166"/>
      <c r="Q102" s="166"/>
      <c r="R102" s="166"/>
      <c r="S102" s="166"/>
      <c r="T102" s="160"/>
      <c r="U102" s="163">
        <v>0</v>
      </c>
      <c r="V102" s="167"/>
      <c r="W102" s="160"/>
      <c r="X102" s="163">
        <v>0</v>
      </c>
      <c r="Y102" s="168"/>
      <c r="Z102" s="170"/>
    </row>
    <row r="103" spans="1:26" ht="15" thickBot="1" x14ac:dyDescent="0.35">
      <c r="A103" s="171"/>
      <c r="B103" s="172"/>
      <c r="C103" s="172"/>
      <c r="D103" s="172"/>
      <c r="E103" s="173"/>
      <c r="F103" s="174"/>
      <c r="G103" s="175"/>
      <c r="H103" s="176"/>
      <c r="I103" s="160"/>
      <c r="J103" s="202"/>
      <c r="K103" s="162"/>
      <c r="L103" s="163">
        <v>0</v>
      </c>
      <c r="M103" s="163">
        <v>0</v>
      </c>
      <c r="N103" s="164">
        <f>SUMPRODUCT(L103,M103)</f>
        <v>0</v>
      </c>
      <c r="O103" s="177"/>
      <c r="P103" s="178"/>
      <c r="Q103" s="178"/>
      <c r="R103" s="178"/>
      <c r="S103" s="178"/>
      <c r="T103" s="179"/>
      <c r="U103" s="180">
        <v>0</v>
      </c>
      <c r="V103" s="181"/>
      <c r="W103" s="179"/>
      <c r="X103" s="180">
        <v>0</v>
      </c>
      <c r="Y103" s="182"/>
      <c r="Z103" s="183"/>
    </row>
    <row r="104" spans="1:26" x14ac:dyDescent="0.3">
      <c r="A104" s="138">
        <v>44027</v>
      </c>
      <c r="B104" s="139"/>
      <c r="C104" s="139"/>
      <c r="D104" s="139">
        <f>SUM(C104-B104)</f>
        <v>0</v>
      </c>
      <c r="E104" s="140">
        <f>SUM(D104)</f>
        <v>0</v>
      </c>
      <c r="F104" s="141">
        <v>1510</v>
      </c>
      <c r="G104" s="142">
        <f>PRODUCT(E104,36000)</f>
        <v>0</v>
      </c>
      <c r="H104" s="143"/>
      <c r="I104" s="144"/>
      <c r="J104" s="201"/>
      <c r="K104" s="146"/>
      <c r="L104" s="147">
        <v>0</v>
      </c>
      <c r="M104" s="147">
        <v>0</v>
      </c>
      <c r="N104" s="148">
        <f>SUMPRODUCT(L104,M104)</f>
        <v>0</v>
      </c>
      <c r="O104" s="149">
        <f>SUM(N104:N110)</f>
        <v>0</v>
      </c>
      <c r="P104" s="150"/>
      <c r="Q104" s="150"/>
      <c r="R104" s="150"/>
      <c r="S104" s="150"/>
      <c r="T104" s="146"/>
      <c r="U104" s="147">
        <v>0</v>
      </c>
      <c r="V104" s="151">
        <f>U104:U110</f>
        <v>0</v>
      </c>
      <c r="W104" s="146"/>
      <c r="X104" s="147">
        <v>0</v>
      </c>
      <c r="Y104" s="152">
        <f>X104:X110</f>
        <v>0</v>
      </c>
      <c r="Z104" s="153">
        <f>G104+O104+V104-Y104</f>
        <v>0</v>
      </c>
    </row>
    <row r="105" spans="1:26" x14ac:dyDescent="0.3">
      <c r="A105" s="154"/>
      <c r="B105" s="155"/>
      <c r="C105" s="155"/>
      <c r="D105" s="155"/>
      <c r="E105" s="156"/>
      <c r="F105" s="157"/>
      <c r="G105" s="158"/>
      <c r="H105" s="159"/>
      <c r="I105" s="160"/>
      <c r="J105" s="202"/>
      <c r="K105" s="162"/>
      <c r="L105" s="163">
        <v>0</v>
      </c>
      <c r="M105" s="163">
        <v>0</v>
      </c>
      <c r="N105" s="164">
        <f>SUMPRODUCT(L105,M105)</f>
        <v>0</v>
      </c>
      <c r="O105" s="165"/>
      <c r="P105" s="166"/>
      <c r="Q105" s="166"/>
      <c r="R105" s="166"/>
      <c r="S105" s="166"/>
      <c r="T105" s="162"/>
      <c r="U105" s="163">
        <v>0</v>
      </c>
      <c r="V105" s="167"/>
      <c r="W105" s="162"/>
      <c r="X105" s="163">
        <v>0</v>
      </c>
      <c r="Y105" s="168"/>
      <c r="Z105" s="169"/>
    </row>
    <row r="106" spans="1:26" x14ac:dyDescent="0.3">
      <c r="A106" s="154"/>
      <c r="B106" s="155"/>
      <c r="C106" s="155"/>
      <c r="D106" s="155"/>
      <c r="E106" s="156"/>
      <c r="F106" s="157"/>
      <c r="G106" s="158"/>
      <c r="H106" s="159"/>
      <c r="I106" s="160"/>
      <c r="J106" s="202"/>
      <c r="K106" s="162"/>
      <c r="L106" s="163">
        <v>0</v>
      </c>
      <c r="M106" s="163">
        <v>0</v>
      </c>
      <c r="N106" s="164">
        <f>SUMPRODUCT(L106,M106)</f>
        <v>0</v>
      </c>
      <c r="O106" s="165"/>
      <c r="P106" s="166"/>
      <c r="Q106" s="166"/>
      <c r="R106" s="166"/>
      <c r="S106" s="166"/>
      <c r="T106" s="162"/>
      <c r="U106" s="163">
        <v>0</v>
      </c>
      <c r="V106" s="167"/>
      <c r="W106" s="162"/>
      <c r="X106" s="163">
        <v>0</v>
      </c>
      <c r="Y106" s="168"/>
      <c r="Z106" s="169"/>
    </row>
    <row r="107" spans="1:26" x14ac:dyDescent="0.3">
      <c r="A107" s="154"/>
      <c r="B107" s="155"/>
      <c r="C107" s="155"/>
      <c r="D107" s="155"/>
      <c r="E107" s="156"/>
      <c r="F107" s="157"/>
      <c r="G107" s="158"/>
      <c r="H107" s="159"/>
      <c r="I107" s="160"/>
      <c r="J107" s="202"/>
      <c r="K107" s="162"/>
      <c r="L107" s="163">
        <v>0</v>
      </c>
      <c r="M107" s="163">
        <v>0</v>
      </c>
      <c r="N107" s="164">
        <f>SUMPRODUCT(L107,M107)</f>
        <v>0</v>
      </c>
      <c r="O107" s="165"/>
      <c r="P107" s="166"/>
      <c r="Q107" s="166"/>
      <c r="R107" s="166"/>
      <c r="S107" s="166"/>
      <c r="T107" s="162"/>
      <c r="U107" s="163">
        <v>0</v>
      </c>
      <c r="V107" s="167"/>
      <c r="W107" s="162"/>
      <c r="X107" s="163">
        <v>0</v>
      </c>
      <c r="Y107" s="168"/>
      <c r="Z107" s="170"/>
    </row>
    <row r="108" spans="1:26" x14ac:dyDescent="0.3">
      <c r="A108" s="154"/>
      <c r="B108" s="155"/>
      <c r="C108" s="155"/>
      <c r="D108" s="155"/>
      <c r="E108" s="156"/>
      <c r="F108" s="157"/>
      <c r="G108" s="158"/>
      <c r="H108" s="159"/>
      <c r="I108" s="160"/>
      <c r="J108" s="202"/>
      <c r="K108" s="162"/>
      <c r="L108" s="163">
        <v>0</v>
      </c>
      <c r="M108" s="163">
        <v>0</v>
      </c>
      <c r="N108" s="164">
        <f>SUMPRODUCT(L108,M108)</f>
        <v>0</v>
      </c>
      <c r="O108" s="165"/>
      <c r="P108" s="166"/>
      <c r="Q108" s="166"/>
      <c r="R108" s="166"/>
      <c r="S108" s="166"/>
      <c r="T108" s="162"/>
      <c r="U108" s="163">
        <v>0</v>
      </c>
      <c r="V108" s="167"/>
      <c r="W108" s="162"/>
      <c r="X108" s="163">
        <v>0</v>
      </c>
      <c r="Y108" s="168"/>
      <c r="Z108" s="170"/>
    </row>
    <row r="109" spans="1:26" x14ac:dyDescent="0.3">
      <c r="A109" s="154"/>
      <c r="B109" s="155"/>
      <c r="C109" s="155"/>
      <c r="D109" s="155"/>
      <c r="E109" s="156"/>
      <c r="F109" s="157"/>
      <c r="G109" s="158"/>
      <c r="H109" s="159"/>
      <c r="I109" s="160"/>
      <c r="J109" s="202"/>
      <c r="K109" s="162"/>
      <c r="L109" s="163">
        <v>0</v>
      </c>
      <c r="M109" s="163">
        <v>0</v>
      </c>
      <c r="N109" s="164">
        <f>SUMPRODUCT(L109,M109)</f>
        <v>0</v>
      </c>
      <c r="O109" s="165"/>
      <c r="P109" s="166"/>
      <c r="Q109" s="166"/>
      <c r="R109" s="166"/>
      <c r="S109" s="166"/>
      <c r="T109" s="160"/>
      <c r="U109" s="163">
        <v>0</v>
      </c>
      <c r="V109" s="167"/>
      <c r="W109" s="160"/>
      <c r="X109" s="163">
        <v>0</v>
      </c>
      <c r="Y109" s="168"/>
      <c r="Z109" s="170"/>
    </row>
    <row r="110" spans="1:26" ht="15" thickBot="1" x14ac:dyDescent="0.35">
      <c r="A110" s="171"/>
      <c r="B110" s="172"/>
      <c r="C110" s="172"/>
      <c r="D110" s="172"/>
      <c r="E110" s="173"/>
      <c r="F110" s="174"/>
      <c r="G110" s="175"/>
      <c r="H110" s="176"/>
      <c r="I110" s="160"/>
      <c r="J110" s="202"/>
      <c r="K110" s="162"/>
      <c r="L110" s="163">
        <v>0</v>
      </c>
      <c r="M110" s="163">
        <v>0</v>
      </c>
      <c r="N110" s="164">
        <f>SUMPRODUCT(L110,M110)</f>
        <v>0</v>
      </c>
      <c r="O110" s="177"/>
      <c r="P110" s="178"/>
      <c r="Q110" s="178"/>
      <c r="R110" s="178"/>
      <c r="S110" s="178"/>
      <c r="T110" s="179"/>
      <c r="U110" s="180">
        <v>0</v>
      </c>
      <c r="V110" s="181"/>
      <c r="W110" s="179"/>
      <c r="X110" s="180">
        <v>0</v>
      </c>
      <c r="Y110" s="182"/>
      <c r="Z110" s="183"/>
    </row>
    <row r="111" spans="1:26" x14ac:dyDescent="0.3">
      <c r="A111" s="138">
        <v>44028</v>
      </c>
      <c r="B111" s="139"/>
      <c r="C111" s="139"/>
      <c r="D111" s="139">
        <f>SUM(C111-B111)</f>
        <v>0</v>
      </c>
      <c r="E111" s="140">
        <f>SUM(D111)</f>
        <v>0</v>
      </c>
      <c r="F111" s="141">
        <v>1511</v>
      </c>
      <c r="G111" s="142">
        <f>PRODUCT(E111,36000)</f>
        <v>0</v>
      </c>
      <c r="H111" s="143"/>
      <c r="I111" s="144"/>
      <c r="J111" s="201"/>
      <c r="K111" s="146"/>
      <c r="L111" s="147">
        <v>0</v>
      </c>
      <c r="M111" s="147">
        <v>0</v>
      </c>
      <c r="N111" s="148">
        <f>SUMPRODUCT(L111,M111)</f>
        <v>0</v>
      </c>
      <c r="O111" s="149">
        <f>SUM(N111:N117)</f>
        <v>0</v>
      </c>
      <c r="P111" s="150"/>
      <c r="Q111" s="150"/>
      <c r="R111" s="150"/>
      <c r="S111" s="150"/>
      <c r="T111" s="146"/>
      <c r="U111" s="147">
        <v>0</v>
      </c>
      <c r="V111" s="151">
        <f>U111:U117</f>
        <v>0</v>
      </c>
      <c r="W111" s="146"/>
      <c r="X111" s="147">
        <v>0</v>
      </c>
      <c r="Y111" s="152">
        <f>X111:X117</f>
        <v>0</v>
      </c>
      <c r="Z111" s="153">
        <f>G111+O111+V111-Y111</f>
        <v>0</v>
      </c>
    </row>
    <row r="112" spans="1:26" x14ac:dyDescent="0.3">
      <c r="A112" s="154"/>
      <c r="B112" s="155"/>
      <c r="C112" s="155"/>
      <c r="D112" s="155"/>
      <c r="E112" s="156"/>
      <c r="F112" s="157"/>
      <c r="G112" s="158"/>
      <c r="H112" s="159"/>
      <c r="I112" s="160"/>
      <c r="J112" s="202"/>
      <c r="K112" s="162"/>
      <c r="L112" s="163">
        <v>0</v>
      </c>
      <c r="M112" s="163">
        <v>0</v>
      </c>
      <c r="N112" s="164">
        <f>SUMPRODUCT(L112,M112)</f>
        <v>0</v>
      </c>
      <c r="O112" s="165"/>
      <c r="P112" s="166"/>
      <c r="Q112" s="166"/>
      <c r="R112" s="166"/>
      <c r="S112" s="166"/>
      <c r="T112" s="162"/>
      <c r="U112" s="163">
        <v>0</v>
      </c>
      <c r="V112" s="167"/>
      <c r="W112" s="162"/>
      <c r="X112" s="163">
        <v>0</v>
      </c>
      <c r="Y112" s="168"/>
      <c r="Z112" s="169"/>
    </row>
    <row r="113" spans="1:26" x14ac:dyDescent="0.3">
      <c r="A113" s="154"/>
      <c r="B113" s="155"/>
      <c r="C113" s="155"/>
      <c r="D113" s="155"/>
      <c r="E113" s="156"/>
      <c r="F113" s="157"/>
      <c r="G113" s="158"/>
      <c r="H113" s="159"/>
      <c r="I113" s="160"/>
      <c r="J113" s="202"/>
      <c r="K113" s="162"/>
      <c r="L113" s="163">
        <v>0</v>
      </c>
      <c r="M113" s="163">
        <v>0</v>
      </c>
      <c r="N113" s="164">
        <f>SUMPRODUCT(L113,M113)</f>
        <v>0</v>
      </c>
      <c r="O113" s="165"/>
      <c r="P113" s="166"/>
      <c r="Q113" s="166"/>
      <c r="R113" s="166"/>
      <c r="S113" s="166"/>
      <c r="T113" s="162"/>
      <c r="U113" s="163">
        <v>0</v>
      </c>
      <c r="V113" s="167"/>
      <c r="W113" s="162"/>
      <c r="X113" s="163">
        <v>0</v>
      </c>
      <c r="Y113" s="168"/>
      <c r="Z113" s="169"/>
    </row>
    <row r="114" spans="1:26" x14ac:dyDescent="0.3">
      <c r="A114" s="154"/>
      <c r="B114" s="155"/>
      <c r="C114" s="155"/>
      <c r="D114" s="155"/>
      <c r="E114" s="156"/>
      <c r="F114" s="157"/>
      <c r="G114" s="158"/>
      <c r="H114" s="159"/>
      <c r="I114" s="160"/>
      <c r="J114" s="202"/>
      <c r="K114" s="162"/>
      <c r="L114" s="163">
        <v>0</v>
      </c>
      <c r="M114" s="163">
        <v>0</v>
      </c>
      <c r="N114" s="164">
        <f>SUMPRODUCT(L114,M114)</f>
        <v>0</v>
      </c>
      <c r="O114" s="165"/>
      <c r="P114" s="166"/>
      <c r="Q114" s="166"/>
      <c r="R114" s="166"/>
      <c r="S114" s="166"/>
      <c r="T114" s="162"/>
      <c r="U114" s="163">
        <v>0</v>
      </c>
      <c r="V114" s="167"/>
      <c r="W114" s="162"/>
      <c r="X114" s="163">
        <v>0</v>
      </c>
      <c r="Y114" s="168"/>
      <c r="Z114" s="170"/>
    </row>
    <row r="115" spans="1:26" x14ac:dyDescent="0.3">
      <c r="A115" s="154"/>
      <c r="B115" s="155"/>
      <c r="C115" s="155"/>
      <c r="D115" s="155"/>
      <c r="E115" s="156"/>
      <c r="F115" s="157"/>
      <c r="G115" s="158"/>
      <c r="H115" s="159"/>
      <c r="I115" s="160"/>
      <c r="J115" s="202"/>
      <c r="K115" s="162"/>
      <c r="L115" s="163">
        <v>0</v>
      </c>
      <c r="M115" s="163">
        <v>0</v>
      </c>
      <c r="N115" s="164">
        <f>SUMPRODUCT(L115,M115)</f>
        <v>0</v>
      </c>
      <c r="O115" s="165"/>
      <c r="P115" s="166"/>
      <c r="Q115" s="166"/>
      <c r="R115" s="166"/>
      <c r="S115" s="166"/>
      <c r="T115" s="162"/>
      <c r="U115" s="163">
        <v>0</v>
      </c>
      <c r="V115" s="167"/>
      <c r="W115" s="162"/>
      <c r="X115" s="163">
        <v>0</v>
      </c>
      <c r="Y115" s="168"/>
      <c r="Z115" s="170"/>
    </row>
    <row r="116" spans="1:26" x14ac:dyDescent="0.3">
      <c r="A116" s="154"/>
      <c r="B116" s="155"/>
      <c r="C116" s="155"/>
      <c r="D116" s="155"/>
      <c r="E116" s="156"/>
      <c r="F116" s="157"/>
      <c r="G116" s="158"/>
      <c r="H116" s="159"/>
      <c r="I116" s="160"/>
      <c r="J116" s="202"/>
      <c r="K116" s="162"/>
      <c r="L116" s="163">
        <v>0</v>
      </c>
      <c r="M116" s="163">
        <v>0</v>
      </c>
      <c r="N116" s="164">
        <f>SUMPRODUCT(L116,M116)</f>
        <v>0</v>
      </c>
      <c r="O116" s="165"/>
      <c r="P116" s="166"/>
      <c r="Q116" s="166"/>
      <c r="R116" s="166"/>
      <c r="S116" s="166"/>
      <c r="T116" s="160"/>
      <c r="U116" s="163">
        <v>0</v>
      </c>
      <c r="V116" s="167"/>
      <c r="W116" s="160"/>
      <c r="X116" s="163">
        <v>0</v>
      </c>
      <c r="Y116" s="168"/>
      <c r="Z116" s="170"/>
    </row>
    <row r="117" spans="1:26" ht="15" thickBot="1" x14ac:dyDescent="0.35">
      <c r="A117" s="171"/>
      <c r="B117" s="172"/>
      <c r="C117" s="172"/>
      <c r="D117" s="172"/>
      <c r="E117" s="173"/>
      <c r="F117" s="174"/>
      <c r="G117" s="175"/>
      <c r="H117" s="176"/>
      <c r="I117" s="160"/>
      <c r="J117" s="202"/>
      <c r="K117" s="162"/>
      <c r="L117" s="163">
        <v>0</v>
      </c>
      <c r="M117" s="163">
        <v>0</v>
      </c>
      <c r="N117" s="164">
        <f>SUMPRODUCT(L117,M117)</f>
        <v>0</v>
      </c>
      <c r="O117" s="177"/>
      <c r="P117" s="178"/>
      <c r="Q117" s="178"/>
      <c r="R117" s="178"/>
      <c r="S117" s="178"/>
      <c r="T117" s="179"/>
      <c r="U117" s="180">
        <v>0</v>
      </c>
      <c r="V117" s="181"/>
      <c r="W117" s="179"/>
      <c r="X117" s="180">
        <v>0</v>
      </c>
      <c r="Y117" s="182"/>
      <c r="Z117" s="183"/>
    </row>
    <row r="118" spans="1:26" x14ac:dyDescent="0.3">
      <c r="A118" s="138">
        <v>44029</v>
      </c>
      <c r="B118" s="139"/>
      <c r="C118" s="139"/>
      <c r="D118" s="139">
        <f>SUM(C118-B118)</f>
        <v>0</v>
      </c>
      <c r="E118" s="140">
        <f>SUM(D118)</f>
        <v>0</v>
      </c>
      <c r="F118" s="141">
        <v>1512</v>
      </c>
      <c r="G118" s="142">
        <f>PRODUCT(E118,36000)</f>
        <v>0</v>
      </c>
      <c r="H118" s="143"/>
      <c r="I118" s="144"/>
      <c r="J118" s="201"/>
      <c r="K118" s="146"/>
      <c r="L118" s="147">
        <v>0</v>
      </c>
      <c r="M118" s="147">
        <v>0</v>
      </c>
      <c r="N118" s="148">
        <f>SUMPRODUCT(L118,M118)</f>
        <v>0</v>
      </c>
      <c r="O118" s="149">
        <f>SUM(N118:N124)</f>
        <v>0</v>
      </c>
      <c r="P118" s="150"/>
      <c r="Q118" s="150"/>
      <c r="R118" s="150"/>
      <c r="S118" s="150"/>
      <c r="T118" s="146"/>
      <c r="U118" s="147">
        <v>0</v>
      </c>
      <c r="V118" s="151">
        <f>U118:U124</f>
        <v>0</v>
      </c>
      <c r="W118" s="146"/>
      <c r="X118" s="147">
        <v>0</v>
      </c>
      <c r="Y118" s="152">
        <f>X118:X124</f>
        <v>0</v>
      </c>
      <c r="Z118" s="153">
        <f>G118+O118+V118-Y118</f>
        <v>0</v>
      </c>
    </row>
    <row r="119" spans="1:26" x14ac:dyDescent="0.3">
      <c r="A119" s="154"/>
      <c r="B119" s="155"/>
      <c r="C119" s="155"/>
      <c r="D119" s="155"/>
      <c r="E119" s="156"/>
      <c r="F119" s="157"/>
      <c r="G119" s="158"/>
      <c r="H119" s="159"/>
      <c r="I119" s="160"/>
      <c r="J119" s="202"/>
      <c r="K119" s="162"/>
      <c r="L119" s="163">
        <v>0</v>
      </c>
      <c r="M119" s="163">
        <v>0</v>
      </c>
      <c r="N119" s="164">
        <f>SUMPRODUCT(L119,M119)</f>
        <v>0</v>
      </c>
      <c r="O119" s="165"/>
      <c r="P119" s="166"/>
      <c r="Q119" s="166"/>
      <c r="R119" s="166"/>
      <c r="S119" s="166"/>
      <c r="T119" s="162"/>
      <c r="U119" s="163">
        <v>0</v>
      </c>
      <c r="V119" s="167"/>
      <c r="W119" s="162"/>
      <c r="X119" s="163">
        <v>0</v>
      </c>
      <c r="Y119" s="168"/>
      <c r="Z119" s="169"/>
    </row>
    <row r="120" spans="1:26" x14ac:dyDescent="0.3">
      <c r="A120" s="154"/>
      <c r="B120" s="155"/>
      <c r="C120" s="155"/>
      <c r="D120" s="155"/>
      <c r="E120" s="156"/>
      <c r="F120" s="157"/>
      <c r="G120" s="158"/>
      <c r="H120" s="159"/>
      <c r="I120" s="160"/>
      <c r="J120" s="202"/>
      <c r="K120" s="162"/>
      <c r="L120" s="163">
        <v>0</v>
      </c>
      <c r="M120" s="163">
        <v>0</v>
      </c>
      <c r="N120" s="164">
        <f>SUMPRODUCT(L120,M120)</f>
        <v>0</v>
      </c>
      <c r="O120" s="165"/>
      <c r="P120" s="166"/>
      <c r="Q120" s="166"/>
      <c r="R120" s="166"/>
      <c r="S120" s="166"/>
      <c r="T120" s="162"/>
      <c r="U120" s="163">
        <v>0</v>
      </c>
      <c r="V120" s="167"/>
      <c r="W120" s="162"/>
      <c r="X120" s="163">
        <v>0</v>
      </c>
      <c r="Y120" s="168"/>
      <c r="Z120" s="169"/>
    </row>
    <row r="121" spans="1:26" x14ac:dyDescent="0.3">
      <c r="A121" s="154"/>
      <c r="B121" s="155"/>
      <c r="C121" s="155"/>
      <c r="D121" s="155"/>
      <c r="E121" s="156"/>
      <c r="F121" s="157"/>
      <c r="G121" s="158"/>
      <c r="H121" s="159"/>
      <c r="I121" s="160"/>
      <c r="J121" s="202"/>
      <c r="K121" s="162"/>
      <c r="L121" s="163">
        <v>0</v>
      </c>
      <c r="M121" s="163">
        <v>0</v>
      </c>
      <c r="N121" s="164">
        <f>SUMPRODUCT(L121,M121)</f>
        <v>0</v>
      </c>
      <c r="O121" s="165"/>
      <c r="P121" s="166"/>
      <c r="Q121" s="166"/>
      <c r="R121" s="166"/>
      <c r="S121" s="166"/>
      <c r="T121" s="162"/>
      <c r="U121" s="163">
        <v>0</v>
      </c>
      <c r="V121" s="167"/>
      <c r="W121" s="162"/>
      <c r="X121" s="163">
        <v>0</v>
      </c>
      <c r="Y121" s="168"/>
      <c r="Z121" s="170"/>
    </row>
    <row r="122" spans="1:26" x14ac:dyDescent="0.3">
      <c r="A122" s="154"/>
      <c r="B122" s="155"/>
      <c r="C122" s="155"/>
      <c r="D122" s="155"/>
      <c r="E122" s="156"/>
      <c r="F122" s="157"/>
      <c r="G122" s="158"/>
      <c r="H122" s="159"/>
      <c r="I122" s="160"/>
      <c r="J122" s="202"/>
      <c r="K122" s="162"/>
      <c r="L122" s="163">
        <v>0</v>
      </c>
      <c r="M122" s="163">
        <v>0</v>
      </c>
      <c r="N122" s="164">
        <f>SUMPRODUCT(L122,M122)</f>
        <v>0</v>
      </c>
      <c r="O122" s="165"/>
      <c r="P122" s="166"/>
      <c r="Q122" s="166"/>
      <c r="R122" s="166"/>
      <c r="S122" s="166"/>
      <c r="T122" s="162"/>
      <c r="U122" s="163">
        <v>0</v>
      </c>
      <c r="V122" s="167"/>
      <c r="W122" s="162"/>
      <c r="X122" s="163">
        <v>0</v>
      </c>
      <c r="Y122" s="168"/>
      <c r="Z122" s="170"/>
    </row>
    <row r="123" spans="1:26" x14ac:dyDescent="0.3">
      <c r="A123" s="154"/>
      <c r="B123" s="155"/>
      <c r="C123" s="155"/>
      <c r="D123" s="155"/>
      <c r="E123" s="156"/>
      <c r="F123" s="157"/>
      <c r="G123" s="158"/>
      <c r="H123" s="159"/>
      <c r="I123" s="160"/>
      <c r="J123" s="202"/>
      <c r="K123" s="162"/>
      <c r="L123" s="163">
        <v>0</v>
      </c>
      <c r="M123" s="163">
        <v>0</v>
      </c>
      <c r="N123" s="164">
        <f>SUMPRODUCT(L123,M123)</f>
        <v>0</v>
      </c>
      <c r="O123" s="165"/>
      <c r="P123" s="166"/>
      <c r="Q123" s="166"/>
      <c r="R123" s="166"/>
      <c r="S123" s="166"/>
      <c r="T123" s="160"/>
      <c r="U123" s="163">
        <v>0</v>
      </c>
      <c r="V123" s="167"/>
      <c r="W123" s="160"/>
      <c r="X123" s="163">
        <v>0</v>
      </c>
      <c r="Y123" s="168"/>
      <c r="Z123" s="170"/>
    </row>
    <row r="124" spans="1:26" ht="15" thickBot="1" x14ac:dyDescent="0.35">
      <c r="A124" s="171"/>
      <c r="B124" s="172"/>
      <c r="C124" s="172"/>
      <c r="D124" s="172"/>
      <c r="E124" s="173"/>
      <c r="F124" s="174"/>
      <c r="G124" s="175"/>
      <c r="H124" s="176"/>
      <c r="I124" s="179"/>
      <c r="J124" s="203"/>
      <c r="K124" s="185"/>
      <c r="L124" s="180">
        <v>0</v>
      </c>
      <c r="M124" s="180">
        <v>0</v>
      </c>
      <c r="N124" s="186">
        <f>SUMPRODUCT(L124,M124)</f>
        <v>0</v>
      </c>
      <c r="O124" s="177"/>
      <c r="P124" s="178"/>
      <c r="Q124" s="178"/>
      <c r="R124" s="178"/>
      <c r="S124" s="178"/>
      <c r="T124" s="179"/>
      <c r="U124" s="180">
        <v>0</v>
      </c>
      <c r="V124" s="181"/>
      <c r="W124" s="179"/>
      <c r="X124" s="180">
        <v>0</v>
      </c>
      <c r="Y124" s="182"/>
      <c r="Z124" s="183"/>
    </row>
    <row r="125" spans="1:26" ht="24" customHeight="1" thickBot="1" x14ac:dyDescent="0.35">
      <c r="A125" s="187" t="s">
        <v>23</v>
      </c>
      <c r="B125" s="188"/>
      <c r="C125" s="188"/>
      <c r="D125" s="188"/>
      <c r="E125" s="189"/>
      <c r="F125" s="190"/>
      <c r="G125" s="191">
        <f>SUM(G104:G124)</f>
        <v>0</v>
      </c>
      <c r="H125" s="192"/>
      <c r="I125" s="193"/>
      <c r="J125" s="204"/>
      <c r="K125" s="193"/>
      <c r="L125" s="195"/>
      <c r="M125" s="195"/>
      <c r="N125" s="196"/>
      <c r="O125" s="197">
        <f>SUM(O104:O124)</f>
        <v>0</v>
      </c>
      <c r="P125" s="193"/>
      <c r="Q125" s="193"/>
      <c r="R125" s="193"/>
      <c r="S125" s="193"/>
      <c r="T125" s="193"/>
      <c r="U125" s="195"/>
      <c r="V125" s="198"/>
      <c r="W125" s="193"/>
      <c r="X125" s="195"/>
      <c r="Y125" s="199"/>
      <c r="Z125" s="197">
        <f>SUM(Z104:Z124)</f>
        <v>0</v>
      </c>
    </row>
    <row r="126" spans="1:26" x14ac:dyDescent="0.3">
      <c r="A126" s="138">
        <v>44030</v>
      </c>
      <c r="B126" s="139"/>
      <c r="C126" s="139"/>
      <c r="D126" s="139">
        <f>SUM(C126-B126)</f>
        <v>0</v>
      </c>
      <c r="E126" s="140">
        <f>SUM(D126)</f>
        <v>0</v>
      </c>
      <c r="F126" s="141">
        <v>1513</v>
      </c>
      <c r="G126" s="142">
        <f>PRODUCT(E126,36000)</f>
        <v>0</v>
      </c>
      <c r="H126" s="143"/>
      <c r="I126" s="144"/>
      <c r="J126" s="201"/>
      <c r="K126" s="146"/>
      <c r="L126" s="147">
        <v>0</v>
      </c>
      <c r="M126" s="147">
        <v>0</v>
      </c>
      <c r="N126" s="148">
        <f>SUMPRODUCT(L126,M126)</f>
        <v>0</v>
      </c>
      <c r="O126" s="149">
        <f>SUM(N126:N132)</f>
        <v>0</v>
      </c>
      <c r="P126" s="150"/>
      <c r="Q126" s="150"/>
      <c r="R126" s="150"/>
      <c r="S126" s="150"/>
      <c r="T126" s="146"/>
      <c r="U126" s="147">
        <v>0</v>
      </c>
      <c r="V126" s="151">
        <f>U126:U132</f>
        <v>0</v>
      </c>
      <c r="W126" s="146"/>
      <c r="X126" s="147">
        <v>0</v>
      </c>
      <c r="Y126" s="152">
        <f>X126:X132</f>
        <v>0</v>
      </c>
      <c r="Z126" s="153">
        <f>G126+O126+V126-Y126</f>
        <v>0</v>
      </c>
    </row>
    <row r="127" spans="1:26" x14ac:dyDescent="0.3">
      <c r="A127" s="154"/>
      <c r="B127" s="155"/>
      <c r="C127" s="155"/>
      <c r="D127" s="155"/>
      <c r="E127" s="156"/>
      <c r="F127" s="157"/>
      <c r="G127" s="158"/>
      <c r="H127" s="159"/>
      <c r="I127" s="160"/>
      <c r="J127" s="202"/>
      <c r="K127" s="162"/>
      <c r="L127" s="163">
        <v>0</v>
      </c>
      <c r="M127" s="163">
        <v>0</v>
      </c>
      <c r="N127" s="164">
        <f>SUMPRODUCT(L127,M127)</f>
        <v>0</v>
      </c>
      <c r="O127" s="165"/>
      <c r="P127" s="166"/>
      <c r="Q127" s="166"/>
      <c r="R127" s="166"/>
      <c r="S127" s="166"/>
      <c r="T127" s="162"/>
      <c r="U127" s="163">
        <v>0</v>
      </c>
      <c r="V127" s="167"/>
      <c r="W127" s="162"/>
      <c r="X127" s="163">
        <v>0</v>
      </c>
      <c r="Y127" s="168"/>
      <c r="Z127" s="169"/>
    </row>
    <row r="128" spans="1:26" x14ac:dyDescent="0.3">
      <c r="A128" s="154"/>
      <c r="B128" s="155"/>
      <c r="C128" s="155"/>
      <c r="D128" s="155"/>
      <c r="E128" s="156"/>
      <c r="F128" s="157"/>
      <c r="G128" s="158"/>
      <c r="H128" s="159"/>
      <c r="I128" s="160"/>
      <c r="J128" s="202"/>
      <c r="K128" s="162"/>
      <c r="L128" s="163">
        <v>0</v>
      </c>
      <c r="M128" s="163">
        <v>0</v>
      </c>
      <c r="N128" s="164">
        <f>SUMPRODUCT(L128,M128)</f>
        <v>0</v>
      </c>
      <c r="O128" s="165"/>
      <c r="P128" s="166"/>
      <c r="Q128" s="166"/>
      <c r="R128" s="166"/>
      <c r="S128" s="166"/>
      <c r="T128" s="162"/>
      <c r="U128" s="163">
        <v>0</v>
      </c>
      <c r="V128" s="167"/>
      <c r="W128" s="162"/>
      <c r="X128" s="163">
        <v>0</v>
      </c>
      <c r="Y128" s="168"/>
      <c r="Z128" s="169"/>
    </row>
    <row r="129" spans="1:26" x14ac:dyDescent="0.3">
      <c r="A129" s="154"/>
      <c r="B129" s="155"/>
      <c r="C129" s="155"/>
      <c r="D129" s="155"/>
      <c r="E129" s="156"/>
      <c r="F129" s="157"/>
      <c r="G129" s="158"/>
      <c r="H129" s="159"/>
      <c r="I129" s="160"/>
      <c r="J129" s="202"/>
      <c r="K129" s="162"/>
      <c r="L129" s="163">
        <v>0</v>
      </c>
      <c r="M129" s="163">
        <v>0</v>
      </c>
      <c r="N129" s="164">
        <f>SUMPRODUCT(L129,M129)</f>
        <v>0</v>
      </c>
      <c r="O129" s="165"/>
      <c r="P129" s="166"/>
      <c r="Q129" s="166"/>
      <c r="R129" s="166"/>
      <c r="S129" s="166"/>
      <c r="T129" s="162"/>
      <c r="U129" s="163">
        <v>0</v>
      </c>
      <c r="V129" s="167"/>
      <c r="W129" s="162"/>
      <c r="X129" s="163">
        <v>0</v>
      </c>
      <c r="Y129" s="168"/>
      <c r="Z129" s="170"/>
    </row>
    <row r="130" spans="1:26" x14ac:dyDescent="0.3">
      <c r="A130" s="154"/>
      <c r="B130" s="155"/>
      <c r="C130" s="155"/>
      <c r="D130" s="155"/>
      <c r="E130" s="156"/>
      <c r="F130" s="157"/>
      <c r="G130" s="158"/>
      <c r="H130" s="159"/>
      <c r="I130" s="160"/>
      <c r="J130" s="202"/>
      <c r="K130" s="162"/>
      <c r="L130" s="163">
        <v>0</v>
      </c>
      <c r="M130" s="163">
        <v>0</v>
      </c>
      <c r="N130" s="164">
        <f>SUMPRODUCT(L130,M130)</f>
        <v>0</v>
      </c>
      <c r="O130" s="165"/>
      <c r="P130" s="166"/>
      <c r="Q130" s="166"/>
      <c r="R130" s="166"/>
      <c r="S130" s="166"/>
      <c r="T130" s="162"/>
      <c r="U130" s="163">
        <v>0</v>
      </c>
      <c r="V130" s="167"/>
      <c r="W130" s="162"/>
      <c r="X130" s="163">
        <v>0</v>
      </c>
      <c r="Y130" s="168"/>
      <c r="Z130" s="170"/>
    </row>
    <row r="131" spans="1:26" x14ac:dyDescent="0.3">
      <c r="A131" s="154"/>
      <c r="B131" s="155"/>
      <c r="C131" s="155"/>
      <c r="D131" s="155"/>
      <c r="E131" s="156"/>
      <c r="F131" s="157"/>
      <c r="G131" s="158"/>
      <c r="H131" s="159"/>
      <c r="I131" s="160"/>
      <c r="J131" s="202"/>
      <c r="K131" s="162"/>
      <c r="L131" s="163">
        <v>0</v>
      </c>
      <c r="M131" s="163">
        <v>0</v>
      </c>
      <c r="N131" s="164">
        <f>SUMPRODUCT(L131,M131)</f>
        <v>0</v>
      </c>
      <c r="O131" s="165"/>
      <c r="P131" s="166"/>
      <c r="Q131" s="166"/>
      <c r="R131" s="166"/>
      <c r="S131" s="166"/>
      <c r="T131" s="160"/>
      <c r="U131" s="163">
        <v>0</v>
      </c>
      <c r="V131" s="167"/>
      <c r="W131" s="160"/>
      <c r="X131" s="163">
        <v>0</v>
      </c>
      <c r="Y131" s="168"/>
      <c r="Z131" s="170"/>
    </row>
    <row r="132" spans="1:26" ht="15" thickBot="1" x14ac:dyDescent="0.35">
      <c r="A132" s="171"/>
      <c r="B132" s="172"/>
      <c r="C132" s="172"/>
      <c r="D132" s="172"/>
      <c r="E132" s="173"/>
      <c r="F132" s="174"/>
      <c r="G132" s="175"/>
      <c r="H132" s="176"/>
      <c r="I132" s="160"/>
      <c r="J132" s="202"/>
      <c r="K132" s="162"/>
      <c r="L132" s="163">
        <v>0</v>
      </c>
      <c r="M132" s="163">
        <v>0</v>
      </c>
      <c r="N132" s="164">
        <f>SUMPRODUCT(L132,M132)</f>
        <v>0</v>
      </c>
      <c r="O132" s="177"/>
      <c r="P132" s="178"/>
      <c r="Q132" s="178"/>
      <c r="R132" s="178"/>
      <c r="S132" s="178"/>
      <c r="T132" s="179"/>
      <c r="U132" s="180">
        <v>0</v>
      </c>
      <c r="V132" s="181"/>
      <c r="W132" s="179"/>
      <c r="X132" s="180">
        <v>0</v>
      </c>
      <c r="Y132" s="182"/>
      <c r="Z132" s="183"/>
    </row>
    <row r="133" spans="1:26" x14ac:dyDescent="0.3">
      <c r="A133" s="138">
        <v>44031</v>
      </c>
      <c r="B133" s="139"/>
      <c r="C133" s="139"/>
      <c r="D133" s="139">
        <f>SUM(C133-B133)</f>
        <v>0</v>
      </c>
      <c r="E133" s="140">
        <f>SUM(D133)</f>
        <v>0</v>
      </c>
      <c r="F133" s="141">
        <v>1514</v>
      </c>
      <c r="G133" s="142">
        <f>PRODUCT(E133,36000)</f>
        <v>0</v>
      </c>
      <c r="H133" s="143"/>
      <c r="I133" s="144"/>
      <c r="J133" s="201"/>
      <c r="K133" s="146"/>
      <c r="L133" s="147">
        <v>0</v>
      </c>
      <c r="M133" s="147">
        <v>0</v>
      </c>
      <c r="N133" s="148">
        <f>SUMPRODUCT(L133,M133)</f>
        <v>0</v>
      </c>
      <c r="O133" s="149">
        <f>SUM(N133:N139)</f>
        <v>0</v>
      </c>
      <c r="P133" s="150"/>
      <c r="Q133" s="150"/>
      <c r="R133" s="150"/>
      <c r="S133" s="150"/>
      <c r="T133" s="146"/>
      <c r="U133" s="147">
        <v>0</v>
      </c>
      <c r="V133" s="151">
        <f>U133:U139</f>
        <v>0</v>
      </c>
      <c r="W133" s="146"/>
      <c r="X133" s="147">
        <v>0</v>
      </c>
      <c r="Y133" s="152">
        <f>X133:X139</f>
        <v>0</v>
      </c>
      <c r="Z133" s="153">
        <f>G133+O133+V133-Y133</f>
        <v>0</v>
      </c>
    </row>
    <row r="134" spans="1:26" x14ac:dyDescent="0.3">
      <c r="A134" s="154"/>
      <c r="B134" s="155"/>
      <c r="C134" s="155"/>
      <c r="D134" s="155"/>
      <c r="E134" s="156"/>
      <c r="F134" s="157"/>
      <c r="G134" s="158"/>
      <c r="H134" s="159"/>
      <c r="I134" s="160"/>
      <c r="J134" s="202"/>
      <c r="K134" s="162"/>
      <c r="L134" s="163">
        <v>0</v>
      </c>
      <c r="M134" s="163">
        <v>0</v>
      </c>
      <c r="N134" s="164">
        <f>SUMPRODUCT(L134,M134)</f>
        <v>0</v>
      </c>
      <c r="O134" s="165"/>
      <c r="P134" s="166"/>
      <c r="Q134" s="166"/>
      <c r="R134" s="166"/>
      <c r="S134" s="166"/>
      <c r="T134" s="162"/>
      <c r="U134" s="163">
        <v>0</v>
      </c>
      <c r="V134" s="167"/>
      <c r="W134" s="162"/>
      <c r="X134" s="163">
        <v>0</v>
      </c>
      <c r="Y134" s="168"/>
      <c r="Z134" s="169"/>
    </row>
    <row r="135" spans="1:26" x14ac:dyDescent="0.3">
      <c r="A135" s="154"/>
      <c r="B135" s="155"/>
      <c r="C135" s="155"/>
      <c r="D135" s="155"/>
      <c r="E135" s="156"/>
      <c r="F135" s="157"/>
      <c r="G135" s="158"/>
      <c r="H135" s="159"/>
      <c r="I135" s="160"/>
      <c r="J135" s="202"/>
      <c r="K135" s="162"/>
      <c r="L135" s="163">
        <v>0</v>
      </c>
      <c r="M135" s="163">
        <v>0</v>
      </c>
      <c r="N135" s="164">
        <f>SUMPRODUCT(L135,M135)</f>
        <v>0</v>
      </c>
      <c r="O135" s="165"/>
      <c r="P135" s="166"/>
      <c r="Q135" s="166"/>
      <c r="R135" s="166"/>
      <c r="S135" s="166"/>
      <c r="T135" s="162"/>
      <c r="U135" s="163">
        <v>0</v>
      </c>
      <c r="V135" s="167"/>
      <c r="W135" s="162"/>
      <c r="X135" s="163">
        <v>0</v>
      </c>
      <c r="Y135" s="168"/>
      <c r="Z135" s="169"/>
    </row>
    <row r="136" spans="1:26" x14ac:dyDescent="0.3">
      <c r="A136" s="154"/>
      <c r="B136" s="155"/>
      <c r="C136" s="155"/>
      <c r="D136" s="155"/>
      <c r="E136" s="156"/>
      <c r="F136" s="157"/>
      <c r="G136" s="158"/>
      <c r="H136" s="159"/>
      <c r="I136" s="160"/>
      <c r="J136" s="202"/>
      <c r="K136" s="162"/>
      <c r="L136" s="163">
        <v>0</v>
      </c>
      <c r="M136" s="163">
        <v>0</v>
      </c>
      <c r="N136" s="164">
        <f>SUMPRODUCT(L136,M136)</f>
        <v>0</v>
      </c>
      <c r="O136" s="165"/>
      <c r="P136" s="166"/>
      <c r="Q136" s="166"/>
      <c r="R136" s="166"/>
      <c r="S136" s="166"/>
      <c r="T136" s="162"/>
      <c r="U136" s="163">
        <v>0</v>
      </c>
      <c r="V136" s="167"/>
      <c r="W136" s="162"/>
      <c r="X136" s="163">
        <v>0</v>
      </c>
      <c r="Y136" s="168"/>
      <c r="Z136" s="170"/>
    </row>
    <row r="137" spans="1:26" x14ac:dyDescent="0.3">
      <c r="A137" s="154"/>
      <c r="B137" s="155"/>
      <c r="C137" s="155"/>
      <c r="D137" s="155"/>
      <c r="E137" s="156"/>
      <c r="F137" s="157"/>
      <c r="G137" s="158"/>
      <c r="H137" s="159"/>
      <c r="I137" s="160"/>
      <c r="J137" s="202"/>
      <c r="K137" s="162"/>
      <c r="L137" s="163">
        <v>0</v>
      </c>
      <c r="M137" s="163">
        <v>0</v>
      </c>
      <c r="N137" s="164">
        <f>SUMPRODUCT(L137,M137)</f>
        <v>0</v>
      </c>
      <c r="O137" s="165"/>
      <c r="P137" s="166"/>
      <c r="Q137" s="166"/>
      <c r="R137" s="166"/>
      <c r="S137" s="166"/>
      <c r="T137" s="162"/>
      <c r="U137" s="163">
        <v>0</v>
      </c>
      <c r="V137" s="167"/>
      <c r="W137" s="162"/>
      <c r="X137" s="163">
        <v>0</v>
      </c>
      <c r="Y137" s="168"/>
      <c r="Z137" s="170"/>
    </row>
    <row r="138" spans="1:26" x14ac:dyDescent="0.3">
      <c r="A138" s="154"/>
      <c r="B138" s="155"/>
      <c r="C138" s="155"/>
      <c r="D138" s="155"/>
      <c r="E138" s="156"/>
      <c r="F138" s="157"/>
      <c r="G138" s="158"/>
      <c r="H138" s="159"/>
      <c r="I138" s="160"/>
      <c r="J138" s="202"/>
      <c r="K138" s="162"/>
      <c r="L138" s="163">
        <v>0</v>
      </c>
      <c r="M138" s="163">
        <v>0</v>
      </c>
      <c r="N138" s="164">
        <f>SUMPRODUCT(L138,M138)</f>
        <v>0</v>
      </c>
      <c r="O138" s="165"/>
      <c r="P138" s="166"/>
      <c r="Q138" s="166"/>
      <c r="R138" s="166"/>
      <c r="S138" s="166"/>
      <c r="T138" s="160"/>
      <c r="U138" s="163">
        <v>0</v>
      </c>
      <c r="V138" s="167"/>
      <c r="W138" s="160"/>
      <c r="X138" s="163">
        <v>0</v>
      </c>
      <c r="Y138" s="168"/>
      <c r="Z138" s="170"/>
    </row>
    <row r="139" spans="1:26" ht="15" thickBot="1" x14ac:dyDescent="0.35">
      <c r="A139" s="171"/>
      <c r="B139" s="172"/>
      <c r="C139" s="172"/>
      <c r="D139" s="172"/>
      <c r="E139" s="173"/>
      <c r="F139" s="174"/>
      <c r="G139" s="175"/>
      <c r="H139" s="176"/>
      <c r="I139" s="160"/>
      <c r="J139" s="202"/>
      <c r="K139" s="162"/>
      <c r="L139" s="163">
        <v>0</v>
      </c>
      <c r="M139" s="163">
        <v>0</v>
      </c>
      <c r="N139" s="164">
        <f>SUMPRODUCT(L139,M139)</f>
        <v>0</v>
      </c>
      <c r="O139" s="177"/>
      <c r="P139" s="178"/>
      <c r="Q139" s="178"/>
      <c r="R139" s="178"/>
      <c r="S139" s="178"/>
      <c r="T139" s="179"/>
      <c r="U139" s="180">
        <v>0</v>
      </c>
      <c r="V139" s="181"/>
      <c r="W139" s="179"/>
      <c r="X139" s="180">
        <v>0</v>
      </c>
      <c r="Y139" s="182"/>
      <c r="Z139" s="183"/>
    </row>
    <row r="140" spans="1:26" x14ac:dyDescent="0.3">
      <c r="A140" s="138">
        <v>44032</v>
      </c>
      <c r="B140" s="139"/>
      <c r="C140" s="139"/>
      <c r="D140" s="139">
        <f>SUM(C140-B140)</f>
        <v>0</v>
      </c>
      <c r="E140" s="140">
        <f>SUM(D140)</f>
        <v>0</v>
      </c>
      <c r="F140" s="141">
        <v>1515</v>
      </c>
      <c r="G140" s="142">
        <f>PRODUCT(E140,36000)</f>
        <v>0</v>
      </c>
      <c r="H140" s="143"/>
      <c r="I140" s="144"/>
      <c r="J140" s="201"/>
      <c r="K140" s="146"/>
      <c r="L140" s="147">
        <v>0</v>
      </c>
      <c r="M140" s="147">
        <v>0</v>
      </c>
      <c r="N140" s="148">
        <f>SUMPRODUCT(L140,M140)</f>
        <v>0</v>
      </c>
      <c r="O140" s="149">
        <f>SUM(N140:N146)</f>
        <v>0</v>
      </c>
      <c r="P140" s="150"/>
      <c r="Q140" s="150"/>
      <c r="R140" s="150"/>
      <c r="S140" s="150"/>
      <c r="T140" s="146"/>
      <c r="U140" s="147">
        <v>0</v>
      </c>
      <c r="V140" s="151">
        <f>U140:U146</f>
        <v>0</v>
      </c>
      <c r="W140" s="146"/>
      <c r="X140" s="147">
        <v>0</v>
      </c>
      <c r="Y140" s="152">
        <f>X140:X146</f>
        <v>0</v>
      </c>
      <c r="Z140" s="153">
        <f>G140+O140+V140-Y140</f>
        <v>0</v>
      </c>
    </row>
    <row r="141" spans="1:26" x14ac:dyDescent="0.3">
      <c r="A141" s="154"/>
      <c r="B141" s="155"/>
      <c r="C141" s="155"/>
      <c r="D141" s="155"/>
      <c r="E141" s="156"/>
      <c r="F141" s="157"/>
      <c r="G141" s="158"/>
      <c r="H141" s="159"/>
      <c r="I141" s="160"/>
      <c r="J141" s="202"/>
      <c r="K141" s="162"/>
      <c r="L141" s="163">
        <v>0</v>
      </c>
      <c r="M141" s="163">
        <v>0</v>
      </c>
      <c r="N141" s="164">
        <f>SUMPRODUCT(L141,M141)</f>
        <v>0</v>
      </c>
      <c r="O141" s="165"/>
      <c r="P141" s="166"/>
      <c r="Q141" s="166"/>
      <c r="R141" s="166"/>
      <c r="S141" s="166"/>
      <c r="T141" s="162"/>
      <c r="U141" s="163">
        <v>0</v>
      </c>
      <c r="V141" s="167"/>
      <c r="W141" s="162"/>
      <c r="X141" s="163">
        <v>0</v>
      </c>
      <c r="Y141" s="168"/>
      <c r="Z141" s="169"/>
    </row>
    <row r="142" spans="1:26" x14ac:dyDescent="0.3">
      <c r="A142" s="154"/>
      <c r="B142" s="155"/>
      <c r="C142" s="155"/>
      <c r="D142" s="155"/>
      <c r="E142" s="156"/>
      <c r="F142" s="157"/>
      <c r="G142" s="158"/>
      <c r="H142" s="159"/>
      <c r="I142" s="160"/>
      <c r="J142" s="202"/>
      <c r="K142" s="162"/>
      <c r="L142" s="163">
        <v>0</v>
      </c>
      <c r="M142" s="163">
        <v>0</v>
      </c>
      <c r="N142" s="164">
        <f>SUMPRODUCT(L142,M142)</f>
        <v>0</v>
      </c>
      <c r="O142" s="165"/>
      <c r="P142" s="166"/>
      <c r="Q142" s="166"/>
      <c r="R142" s="166"/>
      <c r="S142" s="166"/>
      <c r="T142" s="162"/>
      <c r="U142" s="163">
        <v>0</v>
      </c>
      <c r="V142" s="167"/>
      <c r="W142" s="162"/>
      <c r="X142" s="163">
        <v>0</v>
      </c>
      <c r="Y142" s="168"/>
      <c r="Z142" s="169"/>
    </row>
    <row r="143" spans="1:26" x14ac:dyDescent="0.3">
      <c r="A143" s="154"/>
      <c r="B143" s="155"/>
      <c r="C143" s="155"/>
      <c r="D143" s="155"/>
      <c r="E143" s="156"/>
      <c r="F143" s="157"/>
      <c r="G143" s="158"/>
      <c r="H143" s="159"/>
      <c r="I143" s="160"/>
      <c r="J143" s="202"/>
      <c r="K143" s="162"/>
      <c r="L143" s="163">
        <v>0</v>
      </c>
      <c r="M143" s="163">
        <v>0</v>
      </c>
      <c r="N143" s="164">
        <f>SUMPRODUCT(L143,M143)</f>
        <v>0</v>
      </c>
      <c r="O143" s="165"/>
      <c r="P143" s="166"/>
      <c r="Q143" s="166"/>
      <c r="R143" s="166"/>
      <c r="S143" s="166"/>
      <c r="T143" s="162"/>
      <c r="U143" s="163">
        <v>0</v>
      </c>
      <c r="V143" s="167"/>
      <c r="W143" s="162"/>
      <c r="X143" s="163">
        <v>0</v>
      </c>
      <c r="Y143" s="168"/>
      <c r="Z143" s="170"/>
    </row>
    <row r="144" spans="1:26" x14ac:dyDescent="0.3">
      <c r="A144" s="154"/>
      <c r="B144" s="155"/>
      <c r="C144" s="155"/>
      <c r="D144" s="155"/>
      <c r="E144" s="156"/>
      <c r="F144" s="157"/>
      <c r="G144" s="158"/>
      <c r="H144" s="159"/>
      <c r="I144" s="160"/>
      <c r="J144" s="202"/>
      <c r="K144" s="162"/>
      <c r="L144" s="163">
        <v>0</v>
      </c>
      <c r="M144" s="163">
        <v>0</v>
      </c>
      <c r="N144" s="164">
        <f>SUMPRODUCT(L144,M144)</f>
        <v>0</v>
      </c>
      <c r="O144" s="165"/>
      <c r="P144" s="166"/>
      <c r="Q144" s="166"/>
      <c r="R144" s="166"/>
      <c r="S144" s="166"/>
      <c r="T144" s="162"/>
      <c r="U144" s="163">
        <v>0</v>
      </c>
      <c r="V144" s="167"/>
      <c r="W144" s="162"/>
      <c r="X144" s="163">
        <v>0</v>
      </c>
      <c r="Y144" s="168"/>
      <c r="Z144" s="170"/>
    </row>
    <row r="145" spans="1:26" x14ac:dyDescent="0.3">
      <c r="A145" s="154"/>
      <c r="B145" s="155"/>
      <c r="C145" s="155"/>
      <c r="D145" s="155"/>
      <c r="E145" s="156"/>
      <c r="F145" s="157"/>
      <c r="G145" s="158"/>
      <c r="H145" s="159"/>
      <c r="I145" s="160"/>
      <c r="J145" s="202"/>
      <c r="K145" s="162"/>
      <c r="L145" s="163">
        <v>0</v>
      </c>
      <c r="M145" s="163">
        <v>0</v>
      </c>
      <c r="N145" s="164">
        <f>SUMPRODUCT(L145,M145)</f>
        <v>0</v>
      </c>
      <c r="O145" s="165"/>
      <c r="P145" s="166"/>
      <c r="Q145" s="166"/>
      <c r="R145" s="166"/>
      <c r="S145" s="166"/>
      <c r="T145" s="160"/>
      <c r="U145" s="163">
        <v>0</v>
      </c>
      <c r="V145" s="167"/>
      <c r="W145" s="160"/>
      <c r="X145" s="163">
        <v>0</v>
      </c>
      <c r="Y145" s="168"/>
      <c r="Z145" s="170"/>
    </row>
    <row r="146" spans="1:26" ht="15" thickBot="1" x14ac:dyDescent="0.35">
      <c r="A146" s="171"/>
      <c r="B146" s="172"/>
      <c r="C146" s="172"/>
      <c r="D146" s="172"/>
      <c r="E146" s="173"/>
      <c r="F146" s="174"/>
      <c r="G146" s="175"/>
      <c r="H146" s="176"/>
      <c r="I146" s="160"/>
      <c r="J146" s="202"/>
      <c r="K146" s="162"/>
      <c r="L146" s="163">
        <v>0</v>
      </c>
      <c r="M146" s="163">
        <v>0</v>
      </c>
      <c r="N146" s="164">
        <f>SUMPRODUCT(L146,M146)</f>
        <v>0</v>
      </c>
      <c r="O146" s="177"/>
      <c r="P146" s="178"/>
      <c r="Q146" s="178"/>
      <c r="R146" s="178"/>
      <c r="S146" s="178"/>
      <c r="T146" s="179"/>
      <c r="U146" s="180">
        <v>0</v>
      </c>
      <c r="V146" s="181"/>
      <c r="W146" s="179"/>
      <c r="X146" s="180">
        <v>0</v>
      </c>
      <c r="Y146" s="182"/>
      <c r="Z146" s="183"/>
    </row>
    <row r="147" spans="1:26" x14ac:dyDescent="0.3">
      <c r="A147" s="138">
        <v>44033</v>
      </c>
      <c r="B147" s="139"/>
      <c r="C147" s="139"/>
      <c r="D147" s="139">
        <f>SUM(C147-B147)</f>
        <v>0</v>
      </c>
      <c r="E147" s="140">
        <f>SUM(D147)</f>
        <v>0</v>
      </c>
      <c r="F147" s="141">
        <v>1516</v>
      </c>
      <c r="G147" s="142">
        <f>PRODUCT(E147,36000)</f>
        <v>0</v>
      </c>
      <c r="H147" s="143"/>
      <c r="I147" s="144"/>
      <c r="J147" s="201"/>
      <c r="K147" s="146"/>
      <c r="L147" s="147">
        <v>0</v>
      </c>
      <c r="M147" s="147">
        <v>0</v>
      </c>
      <c r="N147" s="148">
        <f>SUMPRODUCT(L147,M147)</f>
        <v>0</v>
      </c>
      <c r="O147" s="149">
        <f>SUM(N147:N153)</f>
        <v>0</v>
      </c>
      <c r="P147" s="150"/>
      <c r="Q147" s="150"/>
      <c r="R147" s="150"/>
      <c r="S147" s="150"/>
      <c r="T147" s="146"/>
      <c r="U147" s="147">
        <v>0</v>
      </c>
      <c r="V147" s="151">
        <f>U147:U153</f>
        <v>0</v>
      </c>
      <c r="W147" s="146"/>
      <c r="X147" s="147">
        <v>0</v>
      </c>
      <c r="Y147" s="152">
        <f>X147:X153</f>
        <v>0</v>
      </c>
      <c r="Z147" s="153">
        <f>G147+O147+V147-Y147</f>
        <v>0</v>
      </c>
    </row>
    <row r="148" spans="1:26" x14ac:dyDescent="0.3">
      <c r="A148" s="154"/>
      <c r="B148" s="155"/>
      <c r="C148" s="155"/>
      <c r="D148" s="155"/>
      <c r="E148" s="156"/>
      <c r="F148" s="157"/>
      <c r="G148" s="158"/>
      <c r="H148" s="159"/>
      <c r="I148" s="160"/>
      <c r="J148" s="202"/>
      <c r="K148" s="162"/>
      <c r="L148" s="163">
        <v>0</v>
      </c>
      <c r="M148" s="163">
        <v>0</v>
      </c>
      <c r="N148" s="164">
        <f>SUMPRODUCT(L148,M148)</f>
        <v>0</v>
      </c>
      <c r="O148" s="165"/>
      <c r="P148" s="166"/>
      <c r="Q148" s="166"/>
      <c r="R148" s="166"/>
      <c r="S148" s="166"/>
      <c r="T148" s="162"/>
      <c r="U148" s="163">
        <v>0</v>
      </c>
      <c r="V148" s="167"/>
      <c r="W148" s="162"/>
      <c r="X148" s="163">
        <v>0</v>
      </c>
      <c r="Y148" s="168"/>
      <c r="Z148" s="169"/>
    </row>
    <row r="149" spans="1:26" x14ac:dyDescent="0.3">
      <c r="A149" s="154"/>
      <c r="B149" s="155"/>
      <c r="C149" s="155"/>
      <c r="D149" s="155"/>
      <c r="E149" s="156"/>
      <c r="F149" s="157"/>
      <c r="G149" s="158"/>
      <c r="H149" s="159"/>
      <c r="I149" s="160"/>
      <c r="J149" s="202"/>
      <c r="K149" s="162"/>
      <c r="L149" s="163">
        <v>0</v>
      </c>
      <c r="M149" s="163">
        <v>0</v>
      </c>
      <c r="N149" s="164">
        <f>SUMPRODUCT(L149,M149)</f>
        <v>0</v>
      </c>
      <c r="O149" s="165"/>
      <c r="P149" s="166"/>
      <c r="Q149" s="166"/>
      <c r="R149" s="166"/>
      <c r="S149" s="166"/>
      <c r="T149" s="162"/>
      <c r="U149" s="163">
        <v>0</v>
      </c>
      <c r="V149" s="167"/>
      <c r="W149" s="162"/>
      <c r="X149" s="163">
        <v>0</v>
      </c>
      <c r="Y149" s="168"/>
      <c r="Z149" s="169"/>
    </row>
    <row r="150" spans="1:26" x14ac:dyDescent="0.3">
      <c r="A150" s="154"/>
      <c r="B150" s="155"/>
      <c r="C150" s="155"/>
      <c r="D150" s="155"/>
      <c r="E150" s="156"/>
      <c r="F150" s="157"/>
      <c r="G150" s="158"/>
      <c r="H150" s="159"/>
      <c r="I150" s="160"/>
      <c r="J150" s="202"/>
      <c r="K150" s="162"/>
      <c r="L150" s="163">
        <v>0</v>
      </c>
      <c r="M150" s="163">
        <v>0</v>
      </c>
      <c r="N150" s="164">
        <f>SUMPRODUCT(L150,M150)</f>
        <v>0</v>
      </c>
      <c r="O150" s="165"/>
      <c r="P150" s="166"/>
      <c r="Q150" s="166"/>
      <c r="R150" s="166"/>
      <c r="S150" s="166"/>
      <c r="T150" s="162"/>
      <c r="U150" s="163">
        <v>0</v>
      </c>
      <c r="V150" s="167"/>
      <c r="W150" s="162"/>
      <c r="X150" s="163">
        <v>0</v>
      </c>
      <c r="Y150" s="168"/>
      <c r="Z150" s="170"/>
    </row>
    <row r="151" spans="1:26" x14ac:dyDescent="0.3">
      <c r="A151" s="154"/>
      <c r="B151" s="155"/>
      <c r="C151" s="155"/>
      <c r="D151" s="155"/>
      <c r="E151" s="156"/>
      <c r="F151" s="157"/>
      <c r="G151" s="158"/>
      <c r="H151" s="159"/>
      <c r="I151" s="160"/>
      <c r="J151" s="202"/>
      <c r="K151" s="162"/>
      <c r="L151" s="163">
        <v>0</v>
      </c>
      <c r="M151" s="163">
        <v>0</v>
      </c>
      <c r="N151" s="164">
        <f>SUMPRODUCT(L151,M151)</f>
        <v>0</v>
      </c>
      <c r="O151" s="165"/>
      <c r="P151" s="166"/>
      <c r="Q151" s="166"/>
      <c r="R151" s="166"/>
      <c r="S151" s="166"/>
      <c r="T151" s="162"/>
      <c r="U151" s="163">
        <v>0</v>
      </c>
      <c r="V151" s="167"/>
      <c r="W151" s="162"/>
      <c r="X151" s="163">
        <v>0</v>
      </c>
      <c r="Y151" s="168"/>
      <c r="Z151" s="170"/>
    </row>
    <row r="152" spans="1:26" x14ac:dyDescent="0.3">
      <c r="A152" s="154"/>
      <c r="B152" s="155"/>
      <c r="C152" s="155"/>
      <c r="D152" s="155"/>
      <c r="E152" s="156"/>
      <c r="F152" s="157"/>
      <c r="G152" s="158"/>
      <c r="H152" s="159"/>
      <c r="I152" s="160"/>
      <c r="J152" s="202"/>
      <c r="K152" s="162"/>
      <c r="L152" s="163">
        <v>0</v>
      </c>
      <c r="M152" s="163">
        <v>0</v>
      </c>
      <c r="N152" s="164">
        <f>SUMPRODUCT(L152,M152)</f>
        <v>0</v>
      </c>
      <c r="O152" s="165"/>
      <c r="P152" s="166"/>
      <c r="Q152" s="166"/>
      <c r="R152" s="166"/>
      <c r="S152" s="166"/>
      <c r="T152" s="160"/>
      <c r="U152" s="163">
        <v>0</v>
      </c>
      <c r="V152" s="167"/>
      <c r="W152" s="160"/>
      <c r="X152" s="163">
        <v>0</v>
      </c>
      <c r="Y152" s="168"/>
      <c r="Z152" s="170"/>
    </row>
    <row r="153" spans="1:26" ht="15" thickBot="1" x14ac:dyDescent="0.35">
      <c r="A153" s="171"/>
      <c r="B153" s="172"/>
      <c r="C153" s="172"/>
      <c r="D153" s="172"/>
      <c r="E153" s="173"/>
      <c r="F153" s="174"/>
      <c r="G153" s="175"/>
      <c r="H153" s="176"/>
      <c r="I153" s="160"/>
      <c r="J153" s="202"/>
      <c r="K153" s="162"/>
      <c r="L153" s="163">
        <v>0</v>
      </c>
      <c r="M153" s="163">
        <v>0</v>
      </c>
      <c r="N153" s="164">
        <f>SUMPRODUCT(L153,M153)</f>
        <v>0</v>
      </c>
      <c r="O153" s="177"/>
      <c r="P153" s="178"/>
      <c r="Q153" s="178"/>
      <c r="R153" s="178"/>
      <c r="S153" s="178"/>
      <c r="T153" s="179"/>
      <c r="U153" s="180">
        <v>0</v>
      </c>
      <c r="V153" s="181"/>
      <c r="W153" s="179"/>
      <c r="X153" s="180">
        <v>0</v>
      </c>
      <c r="Y153" s="182"/>
      <c r="Z153" s="183"/>
    </row>
    <row r="154" spans="1:26" x14ac:dyDescent="0.3">
      <c r="A154" s="138">
        <v>44034</v>
      </c>
      <c r="B154" s="139"/>
      <c r="C154" s="139"/>
      <c r="D154" s="139">
        <f>SUM(C154-B154)</f>
        <v>0</v>
      </c>
      <c r="E154" s="140">
        <f>SUM(D154)</f>
        <v>0</v>
      </c>
      <c r="F154" s="141">
        <v>1517</v>
      </c>
      <c r="G154" s="142">
        <f>PRODUCT(E154,36000)</f>
        <v>0</v>
      </c>
      <c r="H154" s="143"/>
      <c r="I154" s="144"/>
      <c r="J154" s="201"/>
      <c r="K154" s="146"/>
      <c r="L154" s="147">
        <v>0</v>
      </c>
      <c r="M154" s="147">
        <v>0</v>
      </c>
      <c r="N154" s="148">
        <f>SUMPRODUCT(L154,M154)</f>
        <v>0</v>
      </c>
      <c r="O154" s="149">
        <f>SUM(N154:N160)</f>
        <v>0</v>
      </c>
      <c r="P154" s="150"/>
      <c r="Q154" s="150"/>
      <c r="R154" s="150"/>
      <c r="S154" s="150"/>
      <c r="T154" s="146"/>
      <c r="U154" s="147">
        <v>0</v>
      </c>
      <c r="V154" s="151">
        <f>U154:U160</f>
        <v>0</v>
      </c>
      <c r="W154" s="146"/>
      <c r="X154" s="147">
        <v>0</v>
      </c>
      <c r="Y154" s="152">
        <f>X154:X160</f>
        <v>0</v>
      </c>
      <c r="Z154" s="153">
        <f>G154+O154+V154-Y154</f>
        <v>0</v>
      </c>
    </row>
    <row r="155" spans="1:26" x14ac:dyDescent="0.3">
      <c r="A155" s="154"/>
      <c r="B155" s="155"/>
      <c r="C155" s="155"/>
      <c r="D155" s="155"/>
      <c r="E155" s="156"/>
      <c r="F155" s="157"/>
      <c r="G155" s="158"/>
      <c r="H155" s="159"/>
      <c r="I155" s="160"/>
      <c r="J155" s="202"/>
      <c r="K155" s="162"/>
      <c r="L155" s="163">
        <v>0</v>
      </c>
      <c r="M155" s="163">
        <v>0</v>
      </c>
      <c r="N155" s="164">
        <f>SUMPRODUCT(L155,M155)</f>
        <v>0</v>
      </c>
      <c r="O155" s="165"/>
      <c r="P155" s="166"/>
      <c r="Q155" s="166"/>
      <c r="R155" s="166"/>
      <c r="S155" s="166"/>
      <c r="T155" s="162"/>
      <c r="U155" s="163">
        <v>0</v>
      </c>
      <c r="V155" s="167"/>
      <c r="W155" s="162"/>
      <c r="X155" s="163">
        <v>0</v>
      </c>
      <c r="Y155" s="168"/>
      <c r="Z155" s="169"/>
    </row>
    <row r="156" spans="1:26" x14ac:dyDescent="0.3">
      <c r="A156" s="154"/>
      <c r="B156" s="155"/>
      <c r="C156" s="155"/>
      <c r="D156" s="155"/>
      <c r="E156" s="156"/>
      <c r="F156" s="157"/>
      <c r="G156" s="158"/>
      <c r="H156" s="159"/>
      <c r="I156" s="160"/>
      <c r="J156" s="202"/>
      <c r="K156" s="162"/>
      <c r="L156" s="163">
        <v>0</v>
      </c>
      <c r="M156" s="163">
        <v>0</v>
      </c>
      <c r="N156" s="164">
        <f>SUMPRODUCT(L156,M156)</f>
        <v>0</v>
      </c>
      <c r="O156" s="165"/>
      <c r="P156" s="166"/>
      <c r="Q156" s="166"/>
      <c r="R156" s="166"/>
      <c r="S156" s="166"/>
      <c r="T156" s="162"/>
      <c r="U156" s="163">
        <v>0</v>
      </c>
      <c r="V156" s="167"/>
      <c r="W156" s="162"/>
      <c r="X156" s="163">
        <v>0</v>
      </c>
      <c r="Y156" s="168"/>
      <c r="Z156" s="169"/>
    </row>
    <row r="157" spans="1:26" x14ac:dyDescent="0.3">
      <c r="A157" s="154"/>
      <c r="B157" s="155"/>
      <c r="C157" s="155"/>
      <c r="D157" s="155"/>
      <c r="E157" s="156"/>
      <c r="F157" s="157"/>
      <c r="G157" s="158"/>
      <c r="H157" s="159"/>
      <c r="I157" s="160"/>
      <c r="J157" s="202"/>
      <c r="K157" s="162"/>
      <c r="L157" s="163">
        <v>0</v>
      </c>
      <c r="M157" s="163">
        <v>0</v>
      </c>
      <c r="N157" s="164">
        <f>SUMPRODUCT(L157,M157)</f>
        <v>0</v>
      </c>
      <c r="O157" s="165"/>
      <c r="P157" s="166"/>
      <c r="Q157" s="166"/>
      <c r="R157" s="166"/>
      <c r="S157" s="166"/>
      <c r="T157" s="162"/>
      <c r="U157" s="163">
        <v>0</v>
      </c>
      <c r="V157" s="167"/>
      <c r="W157" s="162"/>
      <c r="X157" s="163">
        <v>0</v>
      </c>
      <c r="Y157" s="168"/>
      <c r="Z157" s="170"/>
    </row>
    <row r="158" spans="1:26" x14ac:dyDescent="0.3">
      <c r="A158" s="154"/>
      <c r="B158" s="155"/>
      <c r="C158" s="155"/>
      <c r="D158" s="155"/>
      <c r="E158" s="156"/>
      <c r="F158" s="157"/>
      <c r="G158" s="158"/>
      <c r="H158" s="159"/>
      <c r="I158" s="160"/>
      <c r="J158" s="202"/>
      <c r="K158" s="162"/>
      <c r="L158" s="163">
        <v>0</v>
      </c>
      <c r="M158" s="163">
        <v>0</v>
      </c>
      <c r="N158" s="164">
        <f>SUMPRODUCT(L158,M158)</f>
        <v>0</v>
      </c>
      <c r="O158" s="165"/>
      <c r="P158" s="166"/>
      <c r="Q158" s="166"/>
      <c r="R158" s="166"/>
      <c r="S158" s="166"/>
      <c r="T158" s="162"/>
      <c r="U158" s="163">
        <v>0</v>
      </c>
      <c r="V158" s="167"/>
      <c r="W158" s="162"/>
      <c r="X158" s="163">
        <v>0</v>
      </c>
      <c r="Y158" s="168"/>
      <c r="Z158" s="170"/>
    </row>
    <row r="159" spans="1:26" x14ac:dyDescent="0.3">
      <c r="A159" s="154"/>
      <c r="B159" s="155"/>
      <c r="C159" s="155"/>
      <c r="D159" s="155"/>
      <c r="E159" s="156"/>
      <c r="F159" s="157"/>
      <c r="G159" s="158"/>
      <c r="H159" s="159"/>
      <c r="I159" s="160"/>
      <c r="J159" s="202"/>
      <c r="K159" s="162"/>
      <c r="L159" s="163">
        <v>0</v>
      </c>
      <c r="M159" s="163">
        <v>0</v>
      </c>
      <c r="N159" s="164">
        <f>SUMPRODUCT(L159,M159)</f>
        <v>0</v>
      </c>
      <c r="O159" s="165"/>
      <c r="P159" s="166"/>
      <c r="Q159" s="166"/>
      <c r="R159" s="166"/>
      <c r="S159" s="166"/>
      <c r="T159" s="160"/>
      <c r="U159" s="163">
        <v>0</v>
      </c>
      <c r="V159" s="167"/>
      <c r="W159" s="160"/>
      <c r="X159" s="163">
        <v>0</v>
      </c>
      <c r="Y159" s="168"/>
      <c r="Z159" s="170"/>
    </row>
    <row r="160" spans="1:26" ht="15" thickBot="1" x14ac:dyDescent="0.35">
      <c r="A160" s="171"/>
      <c r="B160" s="172"/>
      <c r="C160" s="172"/>
      <c r="D160" s="172"/>
      <c r="E160" s="173"/>
      <c r="F160" s="174"/>
      <c r="G160" s="175"/>
      <c r="H160" s="176"/>
      <c r="I160" s="160"/>
      <c r="J160" s="202"/>
      <c r="K160" s="162"/>
      <c r="L160" s="163">
        <v>0</v>
      </c>
      <c r="M160" s="163">
        <v>0</v>
      </c>
      <c r="N160" s="164">
        <f>SUMPRODUCT(L160,M160)</f>
        <v>0</v>
      </c>
      <c r="O160" s="177"/>
      <c r="P160" s="178"/>
      <c r="Q160" s="178"/>
      <c r="R160" s="178"/>
      <c r="S160" s="178"/>
      <c r="T160" s="179"/>
      <c r="U160" s="180">
        <v>0</v>
      </c>
      <c r="V160" s="181"/>
      <c r="W160" s="179"/>
      <c r="X160" s="180">
        <v>0</v>
      </c>
      <c r="Y160" s="182"/>
      <c r="Z160" s="183"/>
    </row>
    <row r="161" spans="1:26" x14ac:dyDescent="0.3">
      <c r="A161" s="138">
        <v>44035</v>
      </c>
      <c r="B161" s="139"/>
      <c r="C161" s="139"/>
      <c r="D161" s="139">
        <f>SUM(C161-B161)</f>
        <v>0</v>
      </c>
      <c r="E161" s="140">
        <f>SUM(D161)</f>
        <v>0</v>
      </c>
      <c r="F161" s="141">
        <v>1518</v>
      </c>
      <c r="G161" s="142">
        <f>PRODUCT(E161,36000)</f>
        <v>0</v>
      </c>
      <c r="H161" s="143"/>
      <c r="I161" s="144"/>
      <c r="J161" s="201"/>
      <c r="K161" s="146"/>
      <c r="L161" s="147">
        <v>0</v>
      </c>
      <c r="M161" s="147">
        <v>0</v>
      </c>
      <c r="N161" s="148">
        <f>SUMPRODUCT(L161,M161)</f>
        <v>0</v>
      </c>
      <c r="O161" s="149">
        <f>SUM(N161:N167)</f>
        <v>0</v>
      </c>
      <c r="P161" s="150"/>
      <c r="Q161" s="150"/>
      <c r="R161" s="150"/>
      <c r="S161" s="150"/>
      <c r="T161" s="146"/>
      <c r="U161" s="147">
        <v>0</v>
      </c>
      <c r="V161" s="151">
        <f>U161:U167</f>
        <v>0</v>
      </c>
      <c r="W161" s="146"/>
      <c r="X161" s="147">
        <v>0</v>
      </c>
      <c r="Y161" s="152">
        <f>X161:X167</f>
        <v>0</v>
      </c>
      <c r="Z161" s="153">
        <f>G161+O161+V161-Y161</f>
        <v>0</v>
      </c>
    </row>
    <row r="162" spans="1:26" x14ac:dyDescent="0.3">
      <c r="A162" s="154"/>
      <c r="B162" s="155"/>
      <c r="C162" s="155"/>
      <c r="D162" s="155"/>
      <c r="E162" s="156"/>
      <c r="F162" s="157"/>
      <c r="G162" s="158"/>
      <c r="H162" s="159"/>
      <c r="I162" s="160"/>
      <c r="J162" s="202"/>
      <c r="K162" s="162"/>
      <c r="L162" s="163">
        <v>0</v>
      </c>
      <c r="M162" s="163">
        <v>0</v>
      </c>
      <c r="N162" s="164">
        <f>SUMPRODUCT(L162,M162)</f>
        <v>0</v>
      </c>
      <c r="O162" s="165"/>
      <c r="P162" s="166"/>
      <c r="Q162" s="166"/>
      <c r="R162" s="166"/>
      <c r="S162" s="166"/>
      <c r="T162" s="162"/>
      <c r="U162" s="163">
        <v>0</v>
      </c>
      <c r="V162" s="167"/>
      <c r="W162" s="162"/>
      <c r="X162" s="163">
        <v>0</v>
      </c>
      <c r="Y162" s="168"/>
      <c r="Z162" s="169"/>
    </row>
    <row r="163" spans="1:26" x14ac:dyDescent="0.3">
      <c r="A163" s="154"/>
      <c r="B163" s="155"/>
      <c r="C163" s="155"/>
      <c r="D163" s="155"/>
      <c r="E163" s="156"/>
      <c r="F163" s="157"/>
      <c r="G163" s="158"/>
      <c r="H163" s="159"/>
      <c r="I163" s="160"/>
      <c r="J163" s="202"/>
      <c r="K163" s="162"/>
      <c r="L163" s="163">
        <v>0</v>
      </c>
      <c r="M163" s="163">
        <v>0</v>
      </c>
      <c r="N163" s="164">
        <f>SUMPRODUCT(L163,M163)</f>
        <v>0</v>
      </c>
      <c r="O163" s="165"/>
      <c r="P163" s="166"/>
      <c r="Q163" s="166"/>
      <c r="R163" s="166"/>
      <c r="S163" s="166"/>
      <c r="T163" s="162"/>
      <c r="U163" s="163">
        <v>0</v>
      </c>
      <c r="V163" s="167"/>
      <c r="W163" s="162"/>
      <c r="X163" s="163">
        <v>0</v>
      </c>
      <c r="Y163" s="168"/>
      <c r="Z163" s="169"/>
    </row>
    <row r="164" spans="1:26" x14ac:dyDescent="0.3">
      <c r="A164" s="154"/>
      <c r="B164" s="155"/>
      <c r="C164" s="155"/>
      <c r="D164" s="155"/>
      <c r="E164" s="156"/>
      <c r="F164" s="157"/>
      <c r="G164" s="158"/>
      <c r="H164" s="159"/>
      <c r="I164" s="160"/>
      <c r="J164" s="202"/>
      <c r="K164" s="162"/>
      <c r="L164" s="163">
        <v>0</v>
      </c>
      <c r="M164" s="163">
        <v>0</v>
      </c>
      <c r="N164" s="164">
        <f>SUMPRODUCT(L164,M164)</f>
        <v>0</v>
      </c>
      <c r="O164" s="165"/>
      <c r="P164" s="166"/>
      <c r="Q164" s="166"/>
      <c r="R164" s="166"/>
      <c r="S164" s="166"/>
      <c r="T164" s="162"/>
      <c r="U164" s="163">
        <v>0</v>
      </c>
      <c r="V164" s="167"/>
      <c r="W164" s="162"/>
      <c r="X164" s="163">
        <v>0</v>
      </c>
      <c r="Y164" s="168"/>
      <c r="Z164" s="170"/>
    </row>
    <row r="165" spans="1:26" x14ac:dyDescent="0.3">
      <c r="A165" s="154"/>
      <c r="B165" s="155"/>
      <c r="C165" s="155"/>
      <c r="D165" s="155"/>
      <c r="E165" s="156"/>
      <c r="F165" s="157"/>
      <c r="G165" s="158"/>
      <c r="H165" s="159"/>
      <c r="I165" s="160"/>
      <c r="J165" s="202"/>
      <c r="K165" s="162"/>
      <c r="L165" s="163">
        <v>0</v>
      </c>
      <c r="M165" s="163">
        <v>0</v>
      </c>
      <c r="N165" s="164">
        <f>SUMPRODUCT(L165,M165)</f>
        <v>0</v>
      </c>
      <c r="O165" s="165"/>
      <c r="P165" s="166"/>
      <c r="Q165" s="166"/>
      <c r="R165" s="166"/>
      <c r="S165" s="166"/>
      <c r="T165" s="162"/>
      <c r="U165" s="163">
        <v>0</v>
      </c>
      <c r="V165" s="167"/>
      <c r="W165" s="162"/>
      <c r="X165" s="163">
        <v>0</v>
      </c>
      <c r="Y165" s="168"/>
      <c r="Z165" s="170"/>
    </row>
    <row r="166" spans="1:26" x14ac:dyDescent="0.3">
      <c r="A166" s="154"/>
      <c r="B166" s="155"/>
      <c r="C166" s="155"/>
      <c r="D166" s="155"/>
      <c r="E166" s="156"/>
      <c r="F166" s="157"/>
      <c r="G166" s="158"/>
      <c r="H166" s="159"/>
      <c r="I166" s="160"/>
      <c r="J166" s="202"/>
      <c r="K166" s="162"/>
      <c r="L166" s="163">
        <v>0</v>
      </c>
      <c r="M166" s="163">
        <v>0</v>
      </c>
      <c r="N166" s="164">
        <f>SUMPRODUCT(L166,M166)</f>
        <v>0</v>
      </c>
      <c r="O166" s="165"/>
      <c r="P166" s="166"/>
      <c r="Q166" s="166"/>
      <c r="R166" s="166"/>
      <c r="S166" s="166"/>
      <c r="T166" s="160"/>
      <c r="U166" s="163">
        <v>0</v>
      </c>
      <c r="V166" s="167"/>
      <c r="W166" s="160"/>
      <c r="X166" s="163">
        <v>0</v>
      </c>
      <c r="Y166" s="168"/>
      <c r="Z166" s="170"/>
    </row>
    <row r="167" spans="1:26" ht="15" thickBot="1" x14ac:dyDescent="0.35">
      <c r="A167" s="171"/>
      <c r="B167" s="172"/>
      <c r="C167" s="172"/>
      <c r="D167" s="172"/>
      <c r="E167" s="173"/>
      <c r="F167" s="174"/>
      <c r="G167" s="175"/>
      <c r="H167" s="176"/>
      <c r="I167" s="160"/>
      <c r="J167" s="202"/>
      <c r="K167" s="162"/>
      <c r="L167" s="163">
        <v>0</v>
      </c>
      <c r="M167" s="163">
        <v>0</v>
      </c>
      <c r="N167" s="164">
        <f>SUMPRODUCT(L167,M167)</f>
        <v>0</v>
      </c>
      <c r="O167" s="177"/>
      <c r="P167" s="178"/>
      <c r="Q167" s="178"/>
      <c r="R167" s="178"/>
      <c r="S167" s="178"/>
      <c r="T167" s="179"/>
      <c r="U167" s="180">
        <v>0</v>
      </c>
      <c r="V167" s="181"/>
      <c r="W167" s="179"/>
      <c r="X167" s="180">
        <v>0</v>
      </c>
      <c r="Y167" s="182"/>
      <c r="Z167" s="183"/>
    </row>
    <row r="168" spans="1:26" x14ac:dyDescent="0.3">
      <c r="A168" s="138">
        <v>44036</v>
      </c>
      <c r="B168" s="139"/>
      <c r="C168" s="139"/>
      <c r="D168" s="139">
        <f>SUM(C168-B168)</f>
        <v>0</v>
      </c>
      <c r="E168" s="140">
        <f>SUM(D168)</f>
        <v>0</v>
      </c>
      <c r="F168" s="141">
        <v>1519</v>
      </c>
      <c r="G168" s="142">
        <f>PRODUCT(E168,36000)</f>
        <v>0</v>
      </c>
      <c r="H168" s="143"/>
      <c r="I168" s="144"/>
      <c r="J168" s="201"/>
      <c r="K168" s="146"/>
      <c r="L168" s="147">
        <v>0</v>
      </c>
      <c r="M168" s="147">
        <v>0</v>
      </c>
      <c r="N168" s="148">
        <f>SUMPRODUCT(L168,M168)</f>
        <v>0</v>
      </c>
      <c r="O168" s="149">
        <f>SUM(N168:N174)</f>
        <v>0</v>
      </c>
      <c r="P168" s="150"/>
      <c r="Q168" s="150"/>
      <c r="R168" s="150"/>
      <c r="S168" s="150"/>
      <c r="T168" s="146"/>
      <c r="U168" s="147">
        <v>0</v>
      </c>
      <c r="V168" s="151">
        <f>U168:U174</f>
        <v>0</v>
      </c>
      <c r="W168" s="146"/>
      <c r="X168" s="147">
        <v>0</v>
      </c>
      <c r="Y168" s="152">
        <f>X168:X174</f>
        <v>0</v>
      </c>
      <c r="Z168" s="153">
        <f>G168+O168+V168-Y168</f>
        <v>0</v>
      </c>
    </row>
    <row r="169" spans="1:26" x14ac:dyDescent="0.3">
      <c r="A169" s="154"/>
      <c r="B169" s="155"/>
      <c r="C169" s="155"/>
      <c r="D169" s="155"/>
      <c r="E169" s="156"/>
      <c r="F169" s="157"/>
      <c r="G169" s="158"/>
      <c r="H169" s="159"/>
      <c r="I169" s="160"/>
      <c r="J169" s="202"/>
      <c r="K169" s="162"/>
      <c r="L169" s="163">
        <v>0</v>
      </c>
      <c r="M169" s="163">
        <v>0</v>
      </c>
      <c r="N169" s="164">
        <f>SUMPRODUCT(L169,M169)</f>
        <v>0</v>
      </c>
      <c r="O169" s="165"/>
      <c r="P169" s="166"/>
      <c r="Q169" s="166"/>
      <c r="R169" s="166"/>
      <c r="S169" s="166"/>
      <c r="T169" s="162"/>
      <c r="U169" s="163">
        <v>0</v>
      </c>
      <c r="V169" s="167"/>
      <c r="W169" s="162"/>
      <c r="X169" s="163">
        <v>0</v>
      </c>
      <c r="Y169" s="168"/>
      <c r="Z169" s="169"/>
    </row>
    <row r="170" spans="1:26" x14ac:dyDescent="0.3">
      <c r="A170" s="154"/>
      <c r="B170" s="155"/>
      <c r="C170" s="155"/>
      <c r="D170" s="155"/>
      <c r="E170" s="156"/>
      <c r="F170" s="157"/>
      <c r="G170" s="158"/>
      <c r="H170" s="159"/>
      <c r="I170" s="160"/>
      <c r="J170" s="202"/>
      <c r="K170" s="162"/>
      <c r="L170" s="163">
        <v>0</v>
      </c>
      <c r="M170" s="163">
        <v>0</v>
      </c>
      <c r="N170" s="164">
        <f>SUMPRODUCT(L170,M170)</f>
        <v>0</v>
      </c>
      <c r="O170" s="165"/>
      <c r="P170" s="166"/>
      <c r="Q170" s="166"/>
      <c r="R170" s="166"/>
      <c r="S170" s="166"/>
      <c r="T170" s="162"/>
      <c r="U170" s="163">
        <v>0</v>
      </c>
      <c r="V170" s="167"/>
      <c r="W170" s="162"/>
      <c r="X170" s="163">
        <v>0</v>
      </c>
      <c r="Y170" s="168"/>
      <c r="Z170" s="169"/>
    </row>
    <row r="171" spans="1:26" x14ac:dyDescent="0.3">
      <c r="A171" s="154"/>
      <c r="B171" s="155"/>
      <c r="C171" s="155"/>
      <c r="D171" s="155"/>
      <c r="E171" s="156"/>
      <c r="F171" s="157"/>
      <c r="G171" s="158"/>
      <c r="H171" s="159"/>
      <c r="I171" s="160"/>
      <c r="J171" s="202"/>
      <c r="K171" s="162"/>
      <c r="L171" s="163">
        <v>0</v>
      </c>
      <c r="M171" s="163">
        <v>0</v>
      </c>
      <c r="N171" s="164">
        <f>SUMPRODUCT(L171,M171)</f>
        <v>0</v>
      </c>
      <c r="O171" s="165"/>
      <c r="P171" s="166"/>
      <c r="Q171" s="166"/>
      <c r="R171" s="166"/>
      <c r="S171" s="166"/>
      <c r="T171" s="162"/>
      <c r="U171" s="163">
        <v>0</v>
      </c>
      <c r="V171" s="167"/>
      <c r="W171" s="162"/>
      <c r="X171" s="163">
        <v>0</v>
      </c>
      <c r="Y171" s="168"/>
      <c r="Z171" s="170"/>
    </row>
    <row r="172" spans="1:26" x14ac:dyDescent="0.3">
      <c r="A172" s="154"/>
      <c r="B172" s="155"/>
      <c r="C172" s="155"/>
      <c r="D172" s="155"/>
      <c r="E172" s="156"/>
      <c r="F172" s="157"/>
      <c r="G172" s="158"/>
      <c r="H172" s="159"/>
      <c r="I172" s="160"/>
      <c r="J172" s="202"/>
      <c r="K172" s="162"/>
      <c r="L172" s="163">
        <v>0</v>
      </c>
      <c r="M172" s="163">
        <v>0</v>
      </c>
      <c r="N172" s="164">
        <f>SUMPRODUCT(L172,M172)</f>
        <v>0</v>
      </c>
      <c r="O172" s="165"/>
      <c r="P172" s="166"/>
      <c r="Q172" s="166"/>
      <c r="R172" s="166"/>
      <c r="S172" s="166"/>
      <c r="T172" s="162"/>
      <c r="U172" s="163">
        <v>0</v>
      </c>
      <c r="V172" s="167"/>
      <c r="W172" s="162"/>
      <c r="X172" s="163">
        <v>0</v>
      </c>
      <c r="Y172" s="168"/>
      <c r="Z172" s="170"/>
    </row>
    <row r="173" spans="1:26" x14ac:dyDescent="0.3">
      <c r="A173" s="154"/>
      <c r="B173" s="155"/>
      <c r="C173" s="155"/>
      <c r="D173" s="155"/>
      <c r="E173" s="156"/>
      <c r="F173" s="157"/>
      <c r="G173" s="158"/>
      <c r="H173" s="159"/>
      <c r="I173" s="160"/>
      <c r="J173" s="202"/>
      <c r="K173" s="162"/>
      <c r="L173" s="163">
        <v>0</v>
      </c>
      <c r="M173" s="163">
        <v>0</v>
      </c>
      <c r="N173" s="164">
        <f>SUMPRODUCT(L173,M173)</f>
        <v>0</v>
      </c>
      <c r="O173" s="165"/>
      <c r="P173" s="166"/>
      <c r="Q173" s="166"/>
      <c r="R173" s="166"/>
      <c r="S173" s="166"/>
      <c r="T173" s="160"/>
      <c r="U173" s="163">
        <v>0</v>
      </c>
      <c r="V173" s="167"/>
      <c r="W173" s="160"/>
      <c r="X173" s="163">
        <v>0</v>
      </c>
      <c r="Y173" s="168"/>
      <c r="Z173" s="170"/>
    </row>
    <row r="174" spans="1:26" ht="15" thickBot="1" x14ac:dyDescent="0.35">
      <c r="A174" s="171"/>
      <c r="B174" s="172"/>
      <c r="C174" s="172"/>
      <c r="D174" s="172"/>
      <c r="E174" s="173"/>
      <c r="F174" s="174"/>
      <c r="G174" s="175"/>
      <c r="H174" s="176"/>
      <c r="I174" s="179"/>
      <c r="J174" s="203"/>
      <c r="K174" s="185"/>
      <c r="L174" s="180">
        <v>0</v>
      </c>
      <c r="M174" s="180">
        <v>0</v>
      </c>
      <c r="N174" s="186">
        <f>SUMPRODUCT(L174,M174)</f>
        <v>0</v>
      </c>
      <c r="O174" s="177"/>
      <c r="P174" s="178"/>
      <c r="Q174" s="178"/>
      <c r="R174" s="178"/>
      <c r="S174" s="178"/>
      <c r="T174" s="179"/>
      <c r="U174" s="180">
        <v>0</v>
      </c>
      <c r="V174" s="181"/>
      <c r="W174" s="179"/>
      <c r="X174" s="180">
        <v>0</v>
      </c>
      <c r="Y174" s="182"/>
      <c r="Z174" s="183"/>
    </row>
    <row r="175" spans="1:26" ht="24" customHeight="1" thickBot="1" x14ac:dyDescent="0.35">
      <c r="A175" s="187" t="s">
        <v>23</v>
      </c>
      <c r="B175" s="188"/>
      <c r="C175" s="188"/>
      <c r="D175" s="188"/>
      <c r="E175" s="189"/>
      <c r="F175" s="190"/>
      <c r="G175" s="191">
        <f>SUM(G154:G174)</f>
        <v>0</v>
      </c>
      <c r="H175" s="192"/>
      <c r="I175" s="193"/>
      <c r="J175" s="204"/>
      <c r="K175" s="193"/>
      <c r="L175" s="195"/>
      <c r="M175" s="195"/>
      <c r="N175" s="196"/>
      <c r="O175" s="197">
        <f>SUM(O154:O174)</f>
        <v>0</v>
      </c>
      <c r="P175" s="193"/>
      <c r="Q175" s="193"/>
      <c r="R175" s="193"/>
      <c r="S175" s="193"/>
      <c r="T175" s="193"/>
      <c r="U175" s="195"/>
      <c r="V175" s="198"/>
      <c r="W175" s="193"/>
      <c r="X175" s="195"/>
      <c r="Y175" s="199"/>
      <c r="Z175" s="197">
        <f>SUM(Z154:Z174)</f>
        <v>0</v>
      </c>
    </row>
    <row r="176" spans="1:26" x14ac:dyDescent="0.3">
      <c r="A176" s="138">
        <v>44037</v>
      </c>
      <c r="B176" s="139"/>
      <c r="C176" s="139"/>
      <c r="D176" s="139">
        <f>SUM(C176-B176)</f>
        <v>0</v>
      </c>
      <c r="E176" s="140">
        <f>SUM(D176)</f>
        <v>0</v>
      </c>
      <c r="F176" s="141">
        <v>1520</v>
      </c>
      <c r="G176" s="142">
        <f>PRODUCT(E176,36000)</f>
        <v>0</v>
      </c>
      <c r="H176" s="143"/>
      <c r="I176" s="144"/>
      <c r="J176" s="201"/>
      <c r="K176" s="146"/>
      <c r="L176" s="147">
        <v>0</v>
      </c>
      <c r="M176" s="147">
        <v>0</v>
      </c>
      <c r="N176" s="148">
        <f>SUMPRODUCT(L176,M176)</f>
        <v>0</v>
      </c>
      <c r="O176" s="149">
        <f>SUM(N176:N182)</f>
        <v>0</v>
      </c>
      <c r="P176" s="150"/>
      <c r="Q176" s="150"/>
      <c r="R176" s="150"/>
      <c r="S176" s="150"/>
      <c r="T176" s="146"/>
      <c r="U176" s="147">
        <v>0</v>
      </c>
      <c r="V176" s="151">
        <f>U176:U182</f>
        <v>0</v>
      </c>
      <c r="W176" s="146"/>
      <c r="X176" s="147">
        <v>0</v>
      </c>
      <c r="Y176" s="152">
        <f>X176:X182</f>
        <v>0</v>
      </c>
      <c r="Z176" s="153">
        <f>G176+O176+V176-Y176</f>
        <v>0</v>
      </c>
    </row>
    <row r="177" spans="1:26" x14ac:dyDescent="0.3">
      <c r="A177" s="154"/>
      <c r="B177" s="155"/>
      <c r="C177" s="155"/>
      <c r="D177" s="155"/>
      <c r="E177" s="156"/>
      <c r="F177" s="157"/>
      <c r="G177" s="158"/>
      <c r="H177" s="159"/>
      <c r="I177" s="160"/>
      <c r="J177" s="202"/>
      <c r="K177" s="162"/>
      <c r="L177" s="163">
        <v>0</v>
      </c>
      <c r="M177" s="163">
        <v>0</v>
      </c>
      <c r="N177" s="164">
        <f>SUMPRODUCT(L177,M177)</f>
        <v>0</v>
      </c>
      <c r="O177" s="165"/>
      <c r="P177" s="166"/>
      <c r="Q177" s="166"/>
      <c r="R177" s="166"/>
      <c r="S177" s="166"/>
      <c r="T177" s="162"/>
      <c r="U177" s="163">
        <v>0</v>
      </c>
      <c r="V177" s="167"/>
      <c r="W177" s="162"/>
      <c r="X177" s="163">
        <v>0</v>
      </c>
      <c r="Y177" s="168"/>
      <c r="Z177" s="169"/>
    </row>
    <row r="178" spans="1:26" x14ac:dyDescent="0.3">
      <c r="A178" s="154"/>
      <c r="B178" s="155"/>
      <c r="C178" s="155"/>
      <c r="D178" s="155"/>
      <c r="E178" s="156"/>
      <c r="F178" s="157"/>
      <c r="G178" s="158"/>
      <c r="H178" s="159"/>
      <c r="I178" s="160"/>
      <c r="J178" s="202"/>
      <c r="K178" s="162"/>
      <c r="L178" s="163">
        <v>0</v>
      </c>
      <c r="M178" s="163">
        <v>0</v>
      </c>
      <c r="N178" s="164">
        <f>SUMPRODUCT(L178,M178)</f>
        <v>0</v>
      </c>
      <c r="O178" s="165"/>
      <c r="P178" s="166"/>
      <c r="Q178" s="166"/>
      <c r="R178" s="166"/>
      <c r="S178" s="166"/>
      <c r="T178" s="162"/>
      <c r="U178" s="163">
        <v>0</v>
      </c>
      <c r="V178" s="167"/>
      <c r="W178" s="162"/>
      <c r="X178" s="163">
        <v>0</v>
      </c>
      <c r="Y178" s="168"/>
      <c r="Z178" s="169"/>
    </row>
    <row r="179" spans="1:26" x14ac:dyDescent="0.3">
      <c r="A179" s="154"/>
      <c r="B179" s="155"/>
      <c r="C179" s="155"/>
      <c r="D179" s="155"/>
      <c r="E179" s="156"/>
      <c r="F179" s="157"/>
      <c r="G179" s="158"/>
      <c r="H179" s="159"/>
      <c r="I179" s="160"/>
      <c r="J179" s="202"/>
      <c r="K179" s="162"/>
      <c r="L179" s="163">
        <v>0</v>
      </c>
      <c r="M179" s="163">
        <v>0</v>
      </c>
      <c r="N179" s="164">
        <f>SUMPRODUCT(L179,M179)</f>
        <v>0</v>
      </c>
      <c r="O179" s="165"/>
      <c r="P179" s="166"/>
      <c r="Q179" s="166"/>
      <c r="R179" s="166"/>
      <c r="S179" s="166"/>
      <c r="T179" s="162"/>
      <c r="U179" s="163">
        <v>0</v>
      </c>
      <c r="V179" s="167"/>
      <c r="W179" s="162"/>
      <c r="X179" s="163">
        <v>0</v>
      </c>
      <c r="Y179" s="168"/>
      <c r="Z179" s="170"/>
    </row>
    <row r="180" spans="1:26" x14ac:dyDescent="0.3">
      <c r="A180" s="154"/>
      <c r="B180" s="155"/>
      <c r="C180" s="155"/>
      <c r="D180" s="155"/>
      <c r="E180" s="156"/>
      <c r="F180" s="157"/>
      <c r="G180" s="158"/>
      <c r="H180" s="159"/>
      <c r="I180" s="160"/>
      <c r="J180" s="202"/>
      <c r="K180" s="162"/>
      <c r="L180" s="163">
        <v>0</v>
      </c>
      <c r="M180" s="163">
        <v>0</v>
      </c>
      <c r="N180" s="164">
        <f>SUMPRODUCT(L180,M180)</f>
        <v>0</v>
      </c>
      <c r="O180" s="165"/>
      <c r="P180" s="166"/>
      <c r="Q180" s="166"/>
      <c r="R180" s="166"/>
      <c r="S180" s="166"/>
      <c r="T180" s="162"/>
      <c r="U180" s="163">
        <v>0</v>
      </c>
      <c r="V180" s="167"/>
      <c r="W180" s="162"/>
      <c r="X180" s="163">
        <v>0</v>
      </c>
      <c r="Y180" s="168"/>
      <c r="Z180" s="170"/>
    </row>
    <row r="181" spans="1:26" x14ac:dyDescent="0.3">
      <c r="A181" s="154"/>
      <c r="B181" s="155"/>
      <c r="C181" s="155"/>
      <c r="D181" s="155"/>
      <c r="E181" s="156"/>
      <c r="F181" s="157"/>
      <c r="G181" s="158"/>
      <c r="H181" s="159"/>
      <c r="I181" s="160"/>
      <c r="J181" s="202"/>
      <c r="K181" s="162"/>
      <c r="L181" s="163">
        <v>0</v>
      </c>
      <c r="M181" s="163">
        <v>0</v>
      </c>
      <c r="N181" s="164">
        <f>SUMPRODUCT(L181,M181)</f>
        <v>0</v>
      </c>
      <c r="O181" s="165"/>
      <c r="P181" s="166"/>
      <c r="Q181" s="166"/>
      <c r="R181" s="166"/>
      <c r="S181" s="166"/>
      <c r="T181" s="160"/>
      <c r="U181" s="163">
        <v>0</v>
      </c>
      <c r="V181" s="167"/>
      <c r="W181" s="160"/>
      <c r="X181" s="163">
        <v>0</v>
      </c>
      <c r="Y181" s="168"/>
      <c r="Z181" s="170"/>
    </row>
    <row r="182" spans="1:26" ht="15" thickBot="1" x14ac:dyDescent="0.35">
      <c r="A182" s="171"/>
      <c r="B182" s="172"/>
      <c r="C182" s="172"/>
      <c r="D182" s="172"/>
      <c r="E182" s="173"/>
      <c r="F182" s="174"/>
      <c r="G182" s="175"/>
      <c r="H182" s="176"/>
      <c r="I182" s="160"/>
      <c r="J182" s="202"/>
      <c r="K182" s="162"/>
      <c r="L182" s="163">
        <v>0</v>
      </c>
      <c r="M182" s="163">
        <v>0</v>
      </c>
      <c r="N182" s="164">
        <f>SUMPRODUCT(L182,M182)</f>
        <v>0</v>
      </c>
      <c r="O182" s="177"/>
      <c r="P182" s="178"/>
      <c r="Q182" s="178"/>
      <c r="R182" s="178"/>
      <c r="S182" s="178"/>
      <c r="T182" s="179"/>
      <c r="U182" s="180">
        <v>0</v>
      </c>
      <c r="V182" s="181"/>
      <c r="W182" s="179"/>
      <c r="X182" s="180">
        <v>0</v>
      </c>
      <c r="Y182" s="182"/>
      <c r="Z182" s="183"/>
    </row>
    <row r="183" spans="1:26" x14ac:dyDescent="0.3">
      <c r="A183" s="138">
        <v>44038</v>
      </c>
      <c r="B183" s="139"/>
      <c r="C183" s="139"/>
      <c r="D183" s="139">
        <f>SUM(C183-B183)</f>
        <v>0</v>
      </c>
      <c r="E183" s="140">
        <f>SUM(D183)</f>
        <v>0</v>
      </c>
      <c r="F183" s="141">
        <v>1521</v>
      </c>
      <c r="G183" s="142">
        <f>PRODUCT(E183,36000)</f>
        <v>0</v>
      </c>
      <c r="H183" s="143"/>
      <c r="I183" s="144"/>
      <c r="J183" s="201"/>
      <c r="K183" s="146"/>
      <c r="L183" s="147">
        <v>0</v>
      </c>
      <c r="M183" s="147">
        <v>0</v>
      </c>
      <c r="N183" s="148">
        <f>SUMPRODUCT(L183,M183)</f>
        <v>0</v>
      </c>
      <c r="O183" s="149">
        <f>SUM(N183:N189)</f>
        <v>0</v>
      </c>
      <c r="P183" s="150"/>
      <c r="Q183" s="150"/>
      <c r="R183" s="150"/>
      <c r="S183" s="150"/>
      <c r="T183" s="146"/>
      <c r="U183" s="147">
        <v>0</v>
      </c>
      <c r="V183" s="151">
        <f>U183:U189</f>
        <v>0</v>
      </c>
      <c r="W183" s="146"/>
      <c r="X183" s="147">
        <v>0</v>
      </c>
      <c r="Y183" s="152">
        <f>X183:X189</f>
        <v>0</v>
      </c>
      <c r="Z183" s="153">
        <f>G183+O183+V183-Y183</f>
        <v>0</v>
      </c>
    </row>
    <row r="184" spans="1:26" x14ac:dyDescent="0.3">
      <c r="A184" s="154"/>
      <c r="B184" s="155"/>
      <c r="C184" s="155"/>
      <c r="D184" s="155"/>
      <c r="E184" s="156"/>
      <c r="F184" s="157"/>
      <c r="G184" s="158"/>
      <c r="H184" s="159"/>
      <c r="I184" s="160"/>
      <c r="J184" s="202"/>
      <c r="K184" s="162"/>
      <c r="L184" s="163">
        <v>0</v>
      </c>
      <c r="M184" s="163">
        <v>0</v>
      </c>
      <c r="N184" s="164">
        <f>SUMPRODUCT(L184,M184)</f>
        <v>0</v>
      </c>
      <c r="O184" s="165"/>
      <c r="P184" s="166"/>
      <c r="Q184" s="166"/>
      <c r="R184" s="166"/>
      <c r="S184" s="166"/>
      <c r="T184" s="162"/>
      <c r="U184" s="163">
        <v>0</v>
      </c>
      <c r="V184" s="167"/>
      <c r="W184" s="162"/>
      <c r="X184" s="163">
        <v>0</v>
      </c>
      <c r="Y184" s="168"/>
      <c r="Z184" s="169"/>
    </row>
    <row r="185" spans="1:26" x14ac:dyDescent="0.3">
      <c r="A185" s="154"/>
      <c r="B185" s="155"/>
      <c r="C185" s="155"/>
      <c r="D185" s="155"/>
      <c r="E185" s="156"/>
      <c r="F185" s="157"/>
      <c r="G185" s="158"/>
      <c r="H185" s="159"/>
      <c r="I185" s="160"/>
      <c r="J185" s="202"/>
      <c r="K185" s="162"/>
      <c r="L185" s="163">
        <v>0</v>
      </c>
      <c r="M185" s="163">
        <v>0</v>
      </c>
      <c r="N185" s="164">
        <f>SUMPRODUCT(L185,M185)</f>
        <v>0</v>
      </c>
      <c r="O185" s="165"/>
      <c r="P185" s="166"/>
      <c r="Q185" s="166"/>
      <c r="R185" s="166"/>
      <c r="S185" s="166"/>
      <c r="T185" s="162"/>
      <c r="U185" s="163">
        <v>0</v>
      </c>
      <c r="V185" s="167"/>
      <c r="W185" s="162"/>
      <c r="X185" s="163">
        <v>0</v>
      </c>
      <c r="Y185" s="168"/>
      <c r="Z185" s="169"/>
    </row>
    <row r="186" spans="1:26" x14ac:dyDescent="0.3">
      <c r="A186" s="154"/>
      <c r="B186" s="155"/>
      <c r="C186" s="155"/>
      <c r="D186" s="155"/>
      <c r="E186" s="156"/>
      <c r="F186" s="157"/>
      <c r="G186" s="158"/>
      <c r="H186" s="159"/>
      <c r="I186" s="160"/>
      <c r="J186" s="202"/>
      <c r="K186" s="162"/>
      <c r="L186" s="163">
        <v>0</v>
      </c>
      <c r="M186" s="163">
        <v>0</v>
      </c>
      <c r="N186" s="164">
        <f>SUMPRODUCT(L186,M186)</f>
        <v>0</v>
      </c>
      <c r="O186" s="165"/>
      <c r="P186" s="166"/>
      <c r="Q186" s="166"/>
      <c r="R186" s="166"/>
      <c r="S186" s="166"/>
      <c r="T186" s="162"/>
      <c r="U186" s="163">
        <v>0</v>
      </c>
      <c r="V186" s="167"/>
      <c r="W186" s="162"/>
      <c r="X186" s="163">
        <v>0</v>
      </c>
      <c r="Y186" s="168"/>
      <c r="Z186" s="170"/>
    </row>
    <row r="187" spans="1:26" x14ac:dyDescent="0.3">
      <c r="A187" s="154"/>
      <c r="B187" s="155"/>
      <c r="C187" s="155"/>
      <c r="D187" s="155"/>
      <c r="E187" s="156"/>
      <c r="F187" s="157"/>
      <c r="G187" s="158"/>
      <c r="H187" s="159"/>
      <c r="I187" s="160"/>
      <c r="J187" s="202"/>
      <c r="K187" s="162"/>
      <c r="L187" s="163">
        <v>0</v>
      </c>
      <c r="M187" s="163">
        <v>0</v>
      </c>
      <c r="N187" s="164">
        <f>SUMPRODUCT(L187,M187)</f>
        <v>0</v>
      </c>
      <c r="O187" s="165"/>
      <c r="P187" s="166"/>
      <c r="Q187" s="166"/>
      <c r="R187" s="166"/>
      <c r="S187" s="166"/>
      <c r="T187" s="162"/>
      <c r="U187" s="163">
        <v>0</v>
      </c>
      <c r="V187" s="167"/>
      <c r="W187" s="162"/>
      <c r="X187" s="163">
        <v>0</v>
      </c>
      <c r="Y187" s="168"/>
      <c r="Z187" s="170"/>
    </row>
    <row r="188" spans="1:26" x14ac:dyDescent="0.3">
      <c r="A188" s="154"/>
      <c r="B188" s="155"/>
      <c r="C188" s="155"/>
      <c r="D188" s="155"/>
      <c r="E188" s="156"/>
      <c r="F188" s="157"/>
      <c r="G188" s="158"/>
      <c r="H188" s="159"/>
      <c r="I188" s="160"/>
      <c r="J188" s="202"/>
      <c r="K188" s="162"/>
      <c r="L188" s="163">
        <v>0</v>
      </c>
      <c r="M188" s="163">
        <v>0</v>
      </c>
      <c r="N188" s="164">
        <f>SUMPRODUCT(L188,M188)</f>
        <v>0</v>
      </c>
      <c r="O188" s="165"/>
      <c r="P188" s="166"/>
      <c r="Q188" s="166"/>
      <c r="R188" s="166"/>
      <c r="S188" s="166"/>
      <c r="T188" s="160"/>
      <c r="U188" s="163">
        <v>0</v>
      </c>
      <c r="V188" s="167"/>
      <c r="W188" s="160"/>
      <c r="X188" s="163">
        <v>0</v>
      </c>
      <c r="Y188" s="168"/>
      <c r="Z188" s="170"/>
    </row>
    <row r="189" spans="1:26" ht="15" thickBot="1" x14ac:dyDescent="0.35">
      <c r="A189" s="171"/>
      <c r="B189" s="172"/>
      <c r="C189" s="172"/>
      <c r="D189" s="172"/>
      <c r="E189" s="173"/>
      <c r="F189" s="174"/>
      <c r="G189" s="175"/>
      <c r="H189" s="176"/>
      <c r="I189" s="160"/>
      <c r="J189" s="202"/>
      <c r="K189" s="162"/>
      <c r="L189" s="163">
        <v>0</v>
      </c>
      <c r="M189" s="163">
        <v>0</v>
      </c>
      <c r="N189" s="164">
        <f>SUMPRODUCT(L189,M189)</f>
        <v>0</v>
      </c>
      <c r="O189" s="177"/>
      <c r="P189" s="178"/>
      <c r="Q189" s="178"/>
      <c r="R189" s="178"/>
      <c r="S189" s="178"/>
      <c r="T189" s="179"/>
      <c r="U189" s="180">
        <v>0</v>
      </c>
      <c r="V189" s="181"/>
      <c r="W189" s="179"/>
      <c r="X189" s="180">
        <v>0</v>
      </c>
      <c r="Y189" s="182"/>
      <c r="Z189" s="183"/>
    </row>
    <row r="190" spans="1:26" x14ac:dyDescent="0.3">
      <c r="A190" s="138">
        <v>44039</v>
      </c>
      <c r="B190" s="139"/>
      <c r="C190" s="139"/>
      <c r="D190" s="139">
        <f>SUM(C190-B190)</f>
        <v>0</v>
      </c>
      <c r="E190" s="140">
        <f>SUM(D190)</f>
        <v>0</v>
      </c>
      <c r="F190" s="141">
        <v>1522</v>
      </c>
      <c r="G190" s="142">
        <f>PRODUCT(E190,36000)</f>
        <v>0</v>
      </c>
      <c r="H190" s="143"/>
      <c r="I190" s="144"/>
      <c r="J190" s="201"/>
      <c r="K190" s="146"/>
      <c r="L190" s="147">
        <v>0</v>
      </c>
      <c r="M190" s="147">
        <v>0</v>
      </c>
      <c r="N190" s="148">
        <f>SUMPRODUCT(L190,M190)</f>
        <v>0</v>
      </c>
      <c r="O190" s="149">
        <f>SUM(N190:N196)</f>
        <v>0</v>
      </c>
      <c r="P190" s="150"/>
      <c r="Q190" s="150"/>
      <c r="R190" s="150"/>
      <c r="S190" s="150"/>
      <c r="T190" s="146"/>
      <c r="U190" s="147">
        <v>0</v>
      </c>
      <c r="V190" s="151">
        <f>U190:U196</f>
        <v>0</v>
      </c>
      <c r="W190" s="146"/>
      <c r="X190" s="147">
        <v>0</v>
      </c>
      <c r="Y190" s="152">
        <f>X190:X196</f>
        <v>0</v>
      </c>
      <c r="Z190" s="153">
        <f>G190+O190+V190-Y190</f>
        <v>0</v>
      </c>
    </row>
    <row r="191" spans="1:26" x14ac:dyDescent="0.3">
      <c r="A191" s="154"/>
      <c r="B191" s="155"/>
      <c r="C191" s="155"/>
      <c r="D191" s="155"/>
      <c r="E191" s="156"/>
      <c r="F191" s="157"/>
      <c r="G191" s="158"/>
      <c r="H191" s="159"/>
      <c r="I191" s="160"/>
      <c r="J191" s="202"/>
      <c r="K191" s="162"/>
      <c r="L191" s="163">
        <v>0</v>
      </c>
      <c r="M191" s="163">
        <v>0</v>
      </c>
      <c r="N191" s="164">
        <f>SUMPRODUCT(L191,M191)</f>
        <v>0</v>
      </c>
      <c r="O191" s="165"/>
      <c r="P191" s="166"/>
      <c r="Q191" s="166"/>
      <c r="R191" s="166"/>
      <c r="S191" s="166"/>
      <c r="T191" s="162"/>
      <c r="U191" s="163">
        <v>0</v>
      </c>
      <c r="V191" s="167"/>
      <c r="W191" s="162"/>
      <c r="X191" s="163">
        <v>0</v>
      </c>
      <c r="Y191" s="168"/>
      <c r="Z191" s="169"/>
    </row>
    <row r="192" spans="1:26" x14ac:dyDescent="0.3">
      <c r="A192" s="154"/>
      <c r="B192" s="155"/>
      <c r="C192" s="155"/>
      <c r="D192" s="155"/>
      <c r="E192" s="156"/>
      <c r="F192" s="157"/>
      <c r="G192" s="158"/>
      <c r="H192" s="159"/>
      <c r="I192" s="160"/>
      <c r="J192" s="202"/>
      <c r="K192" s="162"/>
      <c r="L192" s="163">
        <v>0</v>
      </c>
      <c r="M192" s="163">
        <v>0</v>
      </c>
      <c r="N192" s="164">
        <f>SUMPRODUCT(L192,M192)</f>
        <v>0</v>
      </c>
      <c r="O192" s="165"/>
      <c r="P192" s="166"/>
      <c r="Q192" s="166"/>
      <c r="R192" s="166"/>
      <c r="S192" s="166"/>
      <c r="T192" s="162"/>
      <c r="U192" s="163">
        <v>0</v>
      </c>
      <c r="V192" s="167"/>
      <c r="W192" s="162"/>
      <c r="X192" s="163">
        <v>0</v>
      </c>
      <c r="Y192" s="168"/>
      <c r="Z192" s="169"/>
    </row>
    <row r="193" spans="1:26" x14ac:dyDescent="0.3">
      <c r="A193" s="154"/>
      <c r="B193" s="155"/>
      <c r="C193" s="155"/>
      <c r="D193" s="155"/>
      <c r="E193" s="156"/>
      <c r="F193" s="157"/>
      <c r="G193" s="158"/>
      <c r="H193" s="159"/>
      <c r="I193" s="160"/>
      <c r="J193" s="202"/>
      <c r="K193" s="162"/>
      <c r="L193" s="163">
        <v>0</v>
      </c>
      <c r="M193" s="163">
        <v>0</v>
      </c>
      <c r="N193" s="164">
        <f>SUMPRODUCT(L193,M193)</f>
        <v>0</v>
      </c>
      <c r="O193" s="165"/>
      <c r="P193" s="166"/>
      <c r="Q193" s="166"/>
      <c r="R193" s="166"/>
      <c r="S193" s="166"/>
      <c r="T193" s="162"/>
      <c r="U193" s="163">
        <v>0</v>
      </c>
      <c r="V193" s="167"/>
      <c r="W193" s="162"/>
      <c r="X193" s="163">
        <v>0</v>
      </c>
      <c r="Y193" s="168"/>
      <c r="Z193" s="170"/>
    </row>
    <row r="194" spans="1:26" x14ac:dyDescent="0.3">
      <c r="A194" s="154"/>
      <c r="B194" s="155"/>
      <c r="C194" s="155"/>
      <c r="D194" s="155"/>
      <c r="E194" s="156"/>
      <c r="F194" s="157"/>
      <c r="G194" s="158"/>
      <c r="H194" s="159"/>
      <c r="I194" s="160"/>
      <c r="J194" s="202"/>
      <c r="K194" s="162"/>
      <c r="L194" s="163">
        <v>0</v>
      </c>
      <c r="M194" s="163">
        <v>0</v>
      </c>
      <c r="N194" s="164">
        <f>SUMPRODUCT(L194,M194)</f>
        <v>0</v>
      </c>
      <c r="O194" s="165"/>
      <c r="P194" s="166"/>
      <c r="Q194" s="166"/>
      <c r="R194" s="166"/>
      <c r="S194" s="166"/>
      <c r="T194" s="162"/>
      <c r="U194" s="163">
        <v>0</v>
      </c>
      <c r="V194" s="167"/>
      <c r="W194" s="162"/>
      <c r="X194" s="163">
        <v>0</v>
      </c>
      <c r="Y194" s="168"/>
      <c r="Z194" s="170"/>
    </row>
    <row r="195" spans="1:26" x14ac:dyDescent="0.3">
      <c r="A195" s="154"/>
      <c r="B195" s="155"/>
      <c r="C195" s="155"/>
      <c r="D195" s="155"/>
      <c r="E195" s="156"/>
      <c r="F195" s="157"/>
      <c r="G195" s="158"/>
      <c r="H195" s="159"/>
      <c r="I195" s="160"/>
      <c r="J195" s="202"/>
      <c r="K195" s="162"/>
      <c r="L195" s="163">
        <v>0</v>
      </c>
      <c r="M195" s="163">
        <v>0</v>
      </c>
      <c r="N195" s="164">
        <f>SUMPRODUCT(L195,M195)</f>
        <v>0</v>
      </c>
      <c r="O195" s="165"/>
      <c r="P195" s="166"/>
      <c r="Q195" s="166"/>
      <c r="R195" s="166"/>
      <c r="S195" s="166"/>
      <c r="T195" s="160"/>
      <c r="U195" s="163">
        <v>0</v>
      </c>
      <c r="V195" s="167"/>
      <c r="W195" s="160"/>
      <c r="X195" s="163">
        <v>0</v>
      </c>
      <c r="Y195" s="168"/>
      <c r="Z195" s="170"/>
    </row>
    <row r="196" spans="1:26" ht="15" thickBot="1" x14ac:dyDescent="0.35">
      <c r="A196" s="171"/>
      <c r="B196" s="172"/>
      <c r="C196" s="172"/>
      <c r="D196" s="172"/>
      <c r="E196" s="173"/>
      <c r="F196" s="174"/>
      <c r="G196" s="175"/>
      <c r="H196" s="176"/>
      <c r="I196" s="160"/>
      <c r="J196" s="202"/>
      <c r="K196" s="162"/>
      <c r="L196" s="163">
        <v>0</v>
      </c>
      <c r="M196" s="163">
        <v>0</v>
      </c>
      <c r="N196" s="164">
        <f>SUMPRODUCT(L196,M196)</f>
        <v>0</v>
      </c>
      <c r="O196" s="177"/>
      <c r="P196" s="178"/>
      <c r="Q196" s="178"/>
      <c r="R196" s="178"/>
      <c r="S196" s="178"/>
      <c r="T196" s="179"/>
      <c r="U196" s="180">
        <v>0</v>
      </c>
      <c r="V196" s="181"/>
      <c r="W196" s="179"/>
      <c r="X196" s="180">
        <v>0</v>
      </c>
      <c r="Y196" s="182"/>
      <c r="Z196" s="183"/>
    </row>
    <row r="197" spans="1:26" x14ac:dyDescent="0.3">
      <c r="A197" s="138">
        <v>44040</v>
      </c>
      <c r="B197" s="139"/>
      <c r="C197" s="139"/>
      <c r="D197" s="139">
        <f>SUM(C197-B197)</f>
        <v>0</v>
      </c>
      <c r="E197" s="140">
        <f>SUM(D197)</f>
        <v>0</v>
      </c>
      <c r="F197" s="141">
        <v>1523</v>
      </c>
      <c r="G197" s="142">
        <f>PRODUCT(E197,36000)</f>
        <v>0</v>
      </c>
      <c r="H197" s="143"/>
      <c r="I197" s="144"/>
      <c r="J197" s="201"/>
      <c r="K197" s="146"/>
      <c r="L197" s="147">
        <v>0</v>
      </c>
      <c r="M197" s="147">
        <v>0</v>
      </c>
      <c r="N197" s="148">
        <f>SUMPRODUCT(L197,M197)</f>
        <v>0</v>
      </c>
      <c r="O197" s="149">
        <f>SUM(N197:N203)</f>
        <v>0</v>
      </c>
      <c r="P197" s="150"/>
      <c r="Q197" s="150"/>
      <c r="R197" s="150"/>
      <c r="S197" s="150"/>
      <c r="T197" s="146"/>
      <c r="U197" s="147">
        <v>0</v>
      </c>
      <c r="V197" s="151">
        <f>U197:U203</f>
        <v>0</v>
      </c>
      <c r="W197" s="146"/>
      <c r="X197" s="147">
        <v>0</v>
      </c>
      <c r="Y197" s="152">
        <f>X197:X203</f>
        <v>0</v>
      </c>
      <c r="Z197" s="153">
        <f>G197+O197+V197-Y197</f>
        <v>0</v>
      </c>
    </row>
    <row r="198" spans="1:26" x14ac:dyDescent="0.3">
      <c r="A198" s="154"/>
      <c r="B198" s="155"/>
      <c r="C198" s="155"/>
      <c r="D198" s="155"/>
      <c r="E198" s="156"/>
      <c r="F198" s="157"/>
      <c r="G198" s="158"/>
      <c r="H198" s="159"/>
      <c r="I198" s="160"/>
      <c r="J198" s="202"/>
      <c r="K198" s="162"/>
      <c r="L198" s="163">
        <v>0</v>
      </c>
      <c r="M198" s="163">
        <v>0</v>
      </c>
      <c r="N198" s="164">
        <f>SUMPRODUCT(L198,M198)</f>
        <v>0</v>
      </c>
      <c r="O198" s="165"/>
      <c r="P198" s="166"/>
      <c r="Q198" s="166"/>
      <c r="R198" s="166"/>
      <c r="S198" s="166"/>
      <c r="T198" s="162"/>
      <c r="U198" s="163">
        <v>0</v>
      </c>
      <c r="V198" s="167"/>
      <c r="W198" s="162"/>
      <c r="X198" s="163">
        <v>0</v>
      </c>
      <c r="Y198" s="168"/>
      <c r="Z198" s="169"/>
    </row>
    <row r="199" spans="1:26" x14ac:dyDescent="0.3">
      <c r="A199" s="154"/>
      <c r="B199" s="155"/>
      <c r="C199" s="155"/>
      <c r="D199" s="155"/>
      <c r="E199" s="156"/>
      <c r="F199" s="157"/>
      <c r="G199" s="158"/>
      <c r="H199" s="159"/>
      <c r="I199" s="160"/>
      <c r="J199" s="202"/>
      <c r="K199" s="162"/>
      <c r="L199" s="163">
        <v>0</v>
      </c>
      <c r="M199" s="163">
        <v>0</v>
      </c>
      <c r="N199" s="164">
        <f>SUMPRODUCT(L199,M199)</f>
        <v>0</v>
      </c>
      <c r="O199" s="165"/>
      <c r="P199" s="166"/>
      <c r="Q199" s="166"/>
      <c r="R199" s="166"/>
      <c r="S199" s="166"/>
      <c r="T199" s="162"/>
      <c r="U199" s="163">
        <v>0</v>
      </c>
      <c r="V199" s="167"/>
      <c r="W199" s="162"/>
      <c r="X199" s="163">
        <v>0</v>
      </c>
      <c r="Y199" s="168"/>
      <c r="Z199" s="169"/>
    </row>
    <row r="200" spans="1:26" x14ac:dyDescent="0.3">
      <c r="A200" s="154"/>
      <c r="B200" s="155"/>
      <c r="C200" s="155"/>
      <c r="D200" s="155"/>
      <c r="E200" s="156"/>
      <c r="F200" s="157"/>
      <c r="G200" s="158"/>
      <c r="H200" s="159"/>
      <c r="I200" s="160"/>
      <c r="J200" s="202"/>
      <c r="K200" s="162"/>
      <c r="L200" s="163">
        <v>0</v>
      </c>
      <c r="M200" s="163">
        <v>0</v>
      </c>
      <c r="N200" s="164">
        <f>SUMPRODUCT(L200,M200)</f>
        <v>0</v>
      </c>
      <c r="O200" s="165"/>
      <c r="P200" s="166"/>
      <c r="Q200" s="166"/>
      <c r="R200" s="166"/>
      <c r="S200" s="166"/>
      <c r="T200" s="162"/>
      <c r="U200" s="163">
        <v>0</v>
      </c>
      <c r="V200" s="167"/>
      <c r="W200" s="162"/>
      <c r="X200" s="163">
        <v>0</v>
      </c>
      <c r="Y200" s="168"/>
      <c r="Z200" s="170"/>
    </row>
    <row r="201" spans="1:26" x14ac:dyDescent="0.3">
      <c r="A201" s="154"/>
      <c r="B201" s="155"/>
      <c r="C201" s="155"/>
      <c r="D201" s="155"/>
      <c r="E201" s="156"/>
      <c r="F201" s="157"/>
      <c r="G201" s="158"/>
      <c r="H201" s="159"/>
      <c r="I201" s="160"/>
      <c r="J201" s="202"/>
      <c r="K201" s="162"/>
      <c r="L201" s="163">
        <v>0</v>
      </c>
      <c r="M201" s="163">
        <v>0</v>
      </c>
      <c r="N201" s="164">
        <f>SUMPRODUCT(L201,M201)</f>
        <v>0</v>
      </c>
      <c r="O201" s="165"/>
      <c r="P201" s="166"/>
      <c r="Q201" s="166"/>
      <c r="R201" s="166"/>
      <c r="S201" s="166"/>
      <c r="T201" s="162"/>
      <c r="U201" s="163">
        <v>0</v>
      </c>
      <c r="V201" s="167"/>
      <c r="W201" s="162"/>
      <c r="X201" s="163">
        <v>0</v>
      </c>
      <c r="Y201" s="168"/>
      <c r="Z201" s="170"/>
    </row>
    <row r="202" spans="1:26" x14ac:dyDescent="0.3">
      <c r="A202" s="154"/>
      <c r="B202" s="155"/>
      <c r="C202" s="155"/>
      <c r="D202" s="155"/>
      <c r="E202" s="156"/>
      <c r="F202" s="157"/>
      <c r="G202" s="158"/>
      <c r="H202" s="159"/>
      <c r="I202" s="160"/>
      <c r="J202" s="202"/>
      <c r="K202" s="162"/>
      <c r="L202" s="163">
        <v>0</v>
      </c>
      <c r="M202" s="163">
        <v>0</v>
      </c>
      <c r="N202" s="164">
        <f>SUMPRODUCT(L202,M202)</f>
        <v>0</v>
      </c>
      <c r="O202" s="165"/>
      <c r="P202" s="166"/>
      <c r="Q202" s="166"/>
      <c r="R202" s="166"/>
      <c r="S202" s="166"/>
      <c r="T202" s="160"/>
      <c r="U202" s="163">
        <v>0</v>
      </c>
      <c r="V202" s="167"/>
      <c r="W202" s="160"/>
      <c r="X202" s="163">
        <v>0</v>
      </c>
      <c r="Y202" s="168"/>
      <c r="Z202" s="170"/>
    </row>
    <row r="203" spans="1:26" ht="15" thickBot="1" x14ac:dyDescent="0.35">
      <c r="A203" s="171"/>
      <c r="B203" s="172"/>
      <c r="C203" s="172"/>
      <c r="D203" s="172"/>
      <c r="E203" s="173"/>
      <c r="F203" s="174"/>
      <c r="G203" s="175"/>
      <c r="H203" s="176"/>
      <c r="I203" s="160"/>
      <c r="J203" s="202"/>
      <c r="K203" s="162"/>
      <c r="L203" s="163">
        <v>0</v>
      </c>
      <c r="M203" s="163">
        <v>0</v>
      </c>
      <c r="N203" s="164">
        <f>SUMPRODUCT(L203,M203)</f>
        <v>0</v>
      </c>
      <c r="O203" s="177"/>
      <c r="P203" s="178"/>
      <c r="Q203" s="178"/>
      <c r="R203" s="178"/>
      <c r="S203" s="178"/>
      <c r="T203" s="179"/>
      <c r="U203" s="180">
        <v>0</v>
      </c>
      <c r="V203" s="181"/>
      <c r="W203" s="179"/>
      <c r="X203" s="180">
        <v>0</v>
      </c>
      <c r="Y203" s="182"/>
      <c r="Z203" s="183"/>
    </row>
    <row r="204" spans="1:26" x14ac:dyDescent="0.3">
      <c r="A204" s="138">
        <v>44041</v>
      </c>
      <c r="B204" s="139"/>
      <c r="C204" s="139"/>
      <c r="D204" s="139">
        <f>SUM(C204-B204)</f>
        <v>0</v>
      </c>
      <c r="E204" s="140">
        <f>SUM(D204)</f>
        <v>0</v>
      </c>
      <c r="F204" s="141">
        <v>1524</v>
      </c>
      <c r="G204" s="142">
        <f>PRODUCT(E204,36000)</f>
        <v>0</v>
      </c>
      <c r="H204" s="143"/>
      <c r="I204" s="144"/>
      <c r="J204" s="201"/>
      <c r="K204" s="146"/>
      <c r="L204" s="147">
        <v>0</v>
      </c>
      <c r="M204" s="147">
        <v>0</v>
      </c>
      <c r="N204" s="148">
        <f>SUMPRODUCT(L204,M204)</f>
        <v>0</v>
      </c>
      <c r="O204" s="149">
        <f>SUM(N204:N210)</f>
        <v>0</v>
      </c>
      <c r="P204" s="150"/>
      <c r="Q204" s="150"/>
      <c r="R204" s="150"/>
      <c r="S204" s="150"/>
      <c r="T204" s="146"/>
      <c r="U204" s="147">
        <v>0</v>
      </c>
      <c r="V204" s="151">
        <f>U204:U210</f>
        <v>0</v>
      </c>
      <c r="W204" s="146"/>
      <c r="X204" s="147">
        <v>0</v>
      </c>
      <c r="Y204" s="152">
        <f>X204:X210</f>
        <v>0</v>
      </c>
      <c r="Z204" s="153">
        <f>G204+O204+V204-Y204</f>
        <v>0</v>
      </c>
    </row>
    <row r="205" spans="1:26" x14ac:dyDescent="0.3">
      <c r="A205" s="154"/>
      <c r="B205" s="155"/>
      <c r="C205" s="155"/>
      <c r="D205" s="155"/>
      <c r="E205" s="156"/>
      <c r="F205" s="157"/>
      <c r="G205" s="158"/>
      <c r="H205" s="159"/>
      <c r="I205" s="160"/>
      <c r="J205" s="202"/>
      <c r="K205" s="162"/>
      <c r="L205" s="163">
        <v>0</v>
      </c>
      <c r="M205" s="163">
        <v>0</v>
      </c>
      <c r="N205" s="164">
        <f>SUMPRODUCT(L205,M205)</f>
        <v>0</v>
      </c>
      <c r="O205" s="165"/>
      <c r="P205" s="166"/>
      <c r="Q205" s="166"/>
      <c r="R205" s="166"/>
      <c r="S205" s="166"/>
      <c r="T205" s="162"/>
      <c r="U205" s="163">
        <v>0</v>
      </c>
      <c r="V205" s="167"/>
      <c r="W205" s="162"/>
      <c r="X205" s="163">
        <v>0</v>
      </c>
      <c r="Y205" s="168"/>
      <c r="Z205" s="169"/>
    </row>
    <row r="206" spans="1:26" x14ac:dyDescent="0.3">
      <c r="A206" s="154"/>
      <c r="B206" s="155"/>
      <c r="C206" s="155"/>
      <c r="D206" s="155"/>
      <c r="E206" s="156"/>
      <c r="F206" s="157"/>
      <c r="G206" s="158"/>
      <c r="H206" s="159"/>
      <c r="I206" s="160"/>
      <c r="J206" s="202"/>
      <c r="K206" s="162"/>
      <c r="L206" s="163">
        <v>0</v>
      </c>
      <c r="M206" s="163">
        <v>0</v>
      </c>
      <c r="N206" s="164">
        <f>SUMPRODUCT(L206,M206)</f>
        <v>0</v>
      </c>
      <c r="O206" s="165"/>
      <c r="P206" s="166"/>
      <c r="Q206" s="166"/>
      <c r="R206" s="166"/>
      <c r="S206" s="166"/>
      <c r="T206" s="162"/>
      <c r="U206" s="163">
        <v>0</v>
      </c>
      <c r="V206" s="167"/>
      <c r="W206" s="162"/>
      <c r="X206" s="163">
        <v>0</v>
      </c>
      <c r="Y206" s="168"/>
      <c r="Z206" s="169"/>
    </row>
    <row r="207" spans="1:26" x14ac:dyDescent="0.3">
      <c r="A207" s="154"/>
      <c r="B207" s="155"/>
      <c r="C207" s="155"/>
      <c r="D207" s="155"/>
      <c r="E207" s="156"/>
      <c r="F207" s="157"/>
      <c r="G207" s="158"/>
      <c r="H207" s="159"/>
      <c r="I207" s="160"/>
      <c r="J207" s="202"/>
      <c r="K207" s="162"/>
      <c r="L207" s="163">
        <v>0</v>
      </c>
      <c r="M207" s="163">
        <v>0</v>
      </c>
      <c r="N207" s="164">
        <f>SUMPRODUCT(L207,M207)</f>
        <v>0</v>
      </c>
      <c r="O207" s="165"/>
      <c r="P207" s="166"/>
      <c r="Q207" s="166"/>
      <c r="R207" s="166"/>
      <c r="S207" s="166"/>
      <c r="T207" s="162"/>
      <c r="U207" s="163">
        <v>0</v>
      </c>
      <c r="V207" s="167"/>
      <c r="W207" s="162"/>
      <c r="X207" s="163">
        <v>0</v>
      </c>
      <c r="Y207" s="168"/>
      <c r="Z207" s="170"/>
    </row>
    <row r="208" spans="1:26" x14ac:dyDescent="0.3">
      <c r="A208" s="154"/>
      <c r="B208" s="155"/>
      <c r="C208" s="155"/>
      <c r="D208" s="155"/>
      <c r="E208" s="156"/>
      <c r="F208" s="157"/>
      <c r="G208" s="158"/>
      <c r="H208" s="159"/>
      <c r="I208" s="160"/>
      <c r="J208" s="202"/>
      <c r="K208" s="162"/>
      <c r="L208" s="163">
        <v>0</v>
      </c>
      <c r="M208" s="163">
        <v>0</v>
      </c>
      <c r="N208" s="164">
        <f>SUMPRODUCT(L208,M208)</f>
        <v>0</v>
      </c>
      <c r="O208" s="165"/>
      <c r="P208" s="166"/>
      <c r="Q208" s="166"/>
      <c r="R208" s="166"/>
      <c r="S208" s="166"/>
      <c r="T208" s="162"/>
      <c r="U208" s="163">
        <v>0</v>
      </c>
      <c r="V208" s="167"/>
      <c r="W208" s="162"/>
      <c r="X208" s="163">
        <v>0</v>
      </c>
      <c r="Y208" s="168"/>
      <c r="Z208" s="170"/>
    </row>
    <row r="209" spans="1:26" x14ac:dyDescent="0.3">
      <c r="A209" s="154"/>
      <c r="B209" s="155"/>
      <c r="C209" s="155"/>
      <c r="D209" s="155"/>
      <c r="E209" s="156"/>
      <c r="F209" s="157"/>
      <c r="G209" s="158"/>
      <c r="H209" s="159"/>
      <c r="I209" s="160"/>
      <c r="J209" s="202"/>
      <c r="K209" s="162"/>
      <c r="L209" s="163">
        <v>0</v>
      </c>
      <c r="M209" s="163">
        <v>0</v>
      </c>
      <c r="N209" s="164">
        <f>SUMPRODUCT(L209,M209)</f>
        <v>0</v>
      </c>
      <c r="O209" s="165"/>
      <c r="P209" s="166"/>
      <c r="Q209" s="166"/>
      <c r="R209" s="166"/>
      <c r="S209" s="166"/>
      <c r="T209" s="160"/>
      <c r="U209" s="163">
        <v>0</v>
      </c>
      <c r="V209" s="167"/>
      <c r="W209" s="160"/>
      <c r="X209" s="163">
        <v>0</v>
      </c>
      <c r="Y209" s="168"/>
      <c r="Z209" s="170"/>
    </row>
    <row r="210" spans="1:26" ht="15" thickBot="1" x14ac:dyDescent="0.35">
      <c r="A210" s="171"/>
      <c r="B210" s="172"/>
      <c r="C210" s="172"/>
      <c r="D210" s="172"/>
      <c r="E210" s="173"/>
      <c r="F210" s="174"/>
      <c r="G210" s="175"/>
      <c r="H210" s="176"/>
      <c r="I210" s="160"/>
      <c r="J210" s="202"/>
      <c r="K210" s="162"/>
      <c r="L210" s="163">
        <v>0</v>
      </c>
      <c r="M210" s="163">
        <v>0</v>
      </c>
      <c r="N210" s="164">
        <f>SUMPRODUCT(L210,M210)</f>
        <v>0</v>
      </c>
      <c r="O210" s="177"/>
      <c r="P210" s="178"/>
      <c r="Q210" s="178"/>
      <c r="R210" s="178"/>
      <c r="S210" s="178"/>
      <c r="T210" s="179"/>
      <c r="U210" s="180">
        <v>0</v>
      </c>
      <c r="V210" s="181"/>
      <c r="W210" s="179"/>
      <c r="X210" s="180">
        <v>0</v>
      </c>
      <c r="Y210" s="182"/>
      <c r="Z210" s="183"/>
    </row>
    <row r="211" spans="1:26" x14ac:dyDescent="0.3">
      <c r="A211" s="138">
        <v>44042</v>
      </c>
      <c r="B211" s="139"/>
      <c r="C211" s="139"/>
      <c r="D211" s="139">
        <f>SUM(C211-B211)</f>
        <v>0</v>
      </c>
      <c r="E211" s="140">
        <f>SUM(D211)</f>
        <v>0</v>
      </c>
      <c r="F211" s="141">
        <v>1525</v>
      </c>
      <c r="G211" s="142">
        <f>PRODUCT(E211,36000)</f>
        <v>0</v>
      </c>
      <c r="H211" s="143"/>
      <c r="I211" s="144"/>
      <c r="J211" s="201"/>
      <c r="K211" s="146"/>
      <c r="L211" s="147">
        <v>0</v>
      </c>
      <c r="M211" s="147">
        <v>0</v>
      </c>
      <c r="N211" s="148">
        <f>SUMPRODUCT(L211,M211)</f>
        <v>0</v>
      </c>
      <c r="O211" s="149">
        <f>SUM(N211:N217)</f>
        <v>0</v>
      </c>
      <c r="P211" s="150"/>
      <c r="Q211" s="150"/>
      <c r="R211" s="150"/>
      <c r="S211" s="150"/>
      <c r="T211" s="146"/>
      <c r="U211" s="147">
        <v>0</v>
      </c>
      <c r="V211" s="151">
        <f>U211:U217</f>
        <v>0</v>
      </c>
      <c r="W211" s="146"/>
      <c r="X211" s="147">
        <v>0</v>
      </c>
      <c r="Y211" s="152">
        <f>X211:X217</f>
        <v>0</v>
      </c>
      <c r="Z211" s="153">
        <f>G211+O211+V211-Y211</f>
        <v>0</v>
      </c>
    </row>
    <row r="212" spans="1:26" x14ac:dyDescent="0.3">
      <c r="A212" s="154"/>
      <c r="B212" s="155"/>
      <c r="C212" s="155"/>
      <c r="D212" s="155"/>
      <c r="E212" s="156"/>
      <c r="F212" s="157"/>
      <c r="G212" s="158"/>
      <c r="H212" s="159"/>
      <c r="I212" s="160"/>
      <c r="J212" s="202"/>
      <c r="K212" s="162"/>
      <c r="L212" s="163">
        <v>0</v>
      </c>
      <c r="M212" s="163">
        <v>0</v>
      </c>
      <c r="N212" s="164">
        <f>SUMPRODUCT(L212,M212)</f>
        <v>0</v>
      </c>
      <c r="O212" s="165"/>
      <c r="P212" s="166"/>
      <c r="Q212" s="166"/>
      <c r="R212" s="166"/>
      <c r="S212" s="166"/>
      <c r="T212" s="162"/>
      <c r="U212" s="163">
        <v>0</v>
      </c>
      <c r="V212" s="167"/>
      <c r="W212" s="162"/>
      <c r="X212" s="163">
        <v>0</v>
      </c>
      <c r="Y212" s="168"/>
      <c r="Z212" s="169"/>
    </row>
    <row r="213" spans="1:26" x14ac:dyDescent="0.3">
      <c r="A213" s="154"/>
      <c r="B213" s="155"/>
      <c r="C213" s="155"/>
      <c r="D213" s="155"/>
      <c r="E213" s="156"/>
      <c r="F213" s="157"/>
      <c r="G213" s="158"/>
      <c r="H213" s="159"/>
      <c r="I213" s="160"/>
      <c r="J213" s="202"/>
      <c r="K213" s="162"/>
      <c r="L213" s="163">
        <v>0</v>
      </c>
      <c r="M213" s="163">
        <v>0</v>
      </c>
      <c r="N213" s="164">
        <f>SUMPRODUCT(L213,M213)</f>
        <v>0</v>
      </c>
      <c r="O213" s="165"/>
      <c r="P213" s="166"/>
      <c r="Q213" s="166"/>
      <c r="R213" s="166"/>
      <c r="S213" s="166"/>
      <c r="T213" s="162"/>
      <c r="U213" s="163">
        <v>0</v>
      </c>
      <c r="V213" s="167"/>
      <c r="W213" s="162"/>
      <c r="X213" s="163">
        <v>0</v>
      </c>
      <c r="Y213" s="168"/>
      <c r="Z213" s="169"/>
    </row>
    <row r="214" spans="1:26" x14ac:dyDescent="0.3">
      <c r="A214" s="154"/>
      <c r="B214" s="155"/>
      <c r="C214" s="155"/>
      <c r="D214" s="155"/>
      <c r="E214" s="156"/>
      <c r="F214" s="157"/>
      <c r="G214" s="158"/>
      <c r="H214" s="159"/>
      <c r="I214" s="160"/>
      <c r="J214" s="202"/>
      <c r="K214" s="162"/>
      <c r="L214" s="163">
        <v>0</v>
      </c>
      <c r="M214" s="163">
        <v>0</v>
      </c>
      <c r="N214" s="164">
        <f>SUMPRODUCT(L214,M214)</f>
        <v>0</v>
      </c>
      <c r="O214" s="165"/>
      <c r="P214" s="166"/>
      <c r="Q214" s="166"/>
      <c r="R214" s="166"/>
      <c r="S214" s="166"/>
      <c r="T214" s="162"/>
      <c r="U214" s="163">
        <v>0</v>
      </c>
      <c r="V214" s="167"/>
      <c r="W214" s="162"/>
      <c r="X214" s="163">
        <v>0</v>
      </c>
      <c r="Y214" s="168"/>
      <c r="Z214" s="170"/>
    </row>
    <row r="215" spans="1:26" x14ac:dyDescent="0.3">
      <c r="A215" s="154"/>
      <c r="B215" s="155"/>
      <c r="C215" s="155"/>
      <c r="D215" s="155"/>
      <c r="E215" s="156"/>
      <c r="F215" s="157"/>
      <c r="G215" s="158"/>
      <c r="H215" s="159"/>
      <c r="I215" s="160"/>
      <c r="J215" s="202"/>
      <c r="K215" s="162"/>
      <c r="L215" s="163">
        <v>0</v>
      </c>
      <c r="M215" s="163">
        <v>0</v>
      </c>
      <c r="N215" s="164">
        <f>SUMPRODUCT(L215,M215)</f>
        <v>0</v>
      </c>
      <c r="O215" s="165"/>
      <c r="P215" s="166"/>
      <c r="Q215" s="166"/>
      <c r="R215" s="166"/>
      <c r="S215" s="166"/>
      <c r="T215" s="162"/>
      <c r="U215" s="163">
        <v>0</v>
      </c>
      <c r="V215" s="167"/>
      <c r="W215" s="162"/>
      <c r="X215" s="163">
        <v>0</v>
      </c>
      <c r="Y215" s="168"/>
      <c r="Z215" s="170"/>
    </row>
    <row r="216" spans="1:26" x14ac:dyDescent="0.3">
      <c r="A216" s="154"/>
      <c r="B216" s="155"/>
      <c r="C216" s="155"/>
      <c r="D216" s="155"/>
      <c r="E216" s="156"/>
      <c r="F216" s="157"/>
      <c r="G216" s="158"/>
      <c r="H216" s="159"/>
      <c r="I216" s="160"/>
      <c r="J216" s="202"/>
      <c r="K216" s="162"/>
      <c r="L216" s="163">
        <v>0</v>
      </c>
      <c r="M216" s="163">
        <v>0</v>
      </c>
      <c r="N216" s="164">
        <f>SUMPRODUCT(L216,M216)</f>
        <v>0</v>
      </c>
      <c r="O216" s="165"/>
      <c r="P216" s="166"/>
      <c r="Q216" s="166"/>
      <c r="R216" s="166"/>
      <c r="S216" s="166"/>
      <c r="T216" s="160"/>
      <c r="U216" s="163">
        <v>0</v>
      </c>
      <c r="V216" s="167"/>
      <c r="W216" s="160"/>
      <c r="X216" s="163">
        <v>0</v>
      </c>
      <c r="Y216" s="168"/>
      <c r="Z216" s="170"/>
    </row>
    <row r="217" spans="1:26" ht="15" thickBot="1" x14ac:dyDescent="0.35">
      <c r="A217" s="171"/>
      <c r="B217" s="172"/>
      <c r="C217" s="172"/>
      <c r="D217" s="172"/>
      <c r="E217" s="173"/>
      <c r="F217" s="174"/>
      <c r="G217" s="175"/>
      <c r="H217" s="176"/>
      <c r="I217" s="160"/>
      <c r="J217" s="202"/>
      <c r="K217" s="162"/>
      <c r="L217" s="163">
        <v>0</v>
      </c>
      <c r="M217" s="163">
        <v>0</v>
      </c>
      <c r="N217" s="164">
        <f>SUMPRODUCT(L217,M217)</f>
        <v>0</v>
      </c>
      <c r="O217" s="177"/>
      <c r="P217" s="178"/>
      <c r="Q217" s="178"/>
      <c r="R217" s="178"/>
      <c r="S217" s="178"/>
      <c r="T217" s="179"/>
      <c r="U217" s="180">
        <v>0</v>
      </c>
      <c r="V217" s="181"/>
      <c r="W217" s="179"/>
      <c r="X217" s="180">
        <v>0</v>
      </c>
      <c r="Y217" s="182"/>
      <c r="Z217" s="183"/>
    </row>
    <row r="218" spans="1:26" x14ac:dyDescent="0.3">
      <c r="A218" s="138">
        <v>44043</v>
      </c>
      <c r="B218" s="139"/>
      <c r="C218" s="139"/>
      <c r="D218" s="139">
        <f>SUM(C218-B218)</f>
        <v>0</v>
      </c>
      <c r="E218" s="140">
        <f>SUM(D218)</f>
        <v>0</v>
      </c>
      <c r="F218" s="141">
        <v>1526</v>
      </c>
      <c r="G218" s="142">
        <f>PRODUCT(E218,36000)</f>
        <v>0</v>
      </c>
      <c r="H218" s="143"/>
      <c r="I218" s="144"/>
      <c r="J218" s="201"/>
      <c r="K218" s="146"/>
      <c r="L218" s="147">
        <v>0</v>
      </c>
      <c r="M218" s="147">
        <v>0</v>
      </c>
      <c r="N218" s="148">
        <f>SUMPRODUCT(L218,M218)</f>
        <v>0</v>
      </c>
      <c r="O218" s="149">
        <f>SUM(N218:N224)</f>
        <v>0</v>
      </c>
      <c r="P218" s="150"/>
      <c r="Q218" s="150"/>
      <c r="R218" s="150"/>
      <c r="S218" s="150"/>
      <c r="T218" s="146"/>
      <c r="U218" s="147">
        <v>0</v>
      </c>
      <c r="V218" s="151">
        <f>U218:U224</f>
        <v>0</v>
      </c>
      <c r="W218" s="146"/>
      <c r="X218" s="147">
        <v>0</v>
      </c>
      <c r="Y218" s="152">
        <f>X218:X224</f>
        <v>0</v>
      </c>
      <c r="Z218" s="153">
        <f>G218+O218+V218-Y218</f>
        <v>0</v>
      </c>
    </row>
    <row r="219" spans="1:26" x14ac:dyDescent="0.3">
      <c r="A219" s="154"/>
      <c r="B219" s="155"/>
      <c r="C219" s="155"/>
      <c r="D219" s="155"/>
      <c r="E219" s="156"/>
      <c r="F219" s="157"/>
      <c r="G219" s="158"/>
      <c r="H219" s="159"/>
      <c r="I219" s="160"/>
      <c r="J219" s="202"/>
      <c r="K219" s="162"/>
      <c r="L219" s="163">
        <v>0</v>
      </c>
      <c r="M219" s="163">
        <v>0</v>
      </c>
      <c r="N219" s="164">
        <f>SUMPRODUCT(L219,M219)</f>
        <v>0</v>
      </c>
      <c r="O219" s="165"/>
      <c r="P219" s="166"/>
      <c r="Q219" s="166"/>
      <c r="R219" s="166"/>
      <c r="S219" s="166"/>
      <c r="T219" s="162"/>
      <c r="U219" s="163">
        <v>0</v>
      </c>
      <c r="V219" s="167"/>
      <c r="W219" s="162"/>
      <c r="X219" s="163">
        <v>0</v>
      </c>
      <c r="Y219" s="168"/>
      <c r="Z219" s="169"/>
    </row>
    <row r="220" spans="1:26" x14ac:dyDescent="0.3">
      <c r="A220" s="154"/>
      <c r="B220" s="155"/>
      <c r="C220" s="155"/>
      <c r="D220" s="155"/>
      <c r="E220" s="156"/>
      <c r="F220" s="157"/>
      <c r="G220" s="158"/>
      <c r="H220" s="159"/>
      <c r="I220" s="160"/>
      <c r="J220" s="202"/>
      <c r="K220" s="162"/>
      <c r="L220" s="163">
        <v>0</v>
      </c>
      <c r="M220" s="163">
        <v>0</v>
      </c>
      <c r="N220" s="164">
        <f>SUMPRODUCT(L220,M220)</f>
        <v>0</v>
      </c>
      <c r="O220" s="165"/>
      <c r="P220" s="166"/>
      <c r="Q220" s="166"/>
      <c r="R220" s="166"/>
      <c r="S220" s="166"/>
      <c r="T220" s="162"/>
      <c r="U220" s="163">
        <v>0</v>
      </c>
      <c r="V220" s="167"/>
      <c r="W220" s="162"/>
      <c r="X220" s="163">
        <v>0</v>
      </c>
      <c r="Y220" s="168"/>
      <c r="Z220" s="169"/>
    </row>
    <row r="221" spans="1:26" x14ac:dyDescent="0.3">
      <c r="A221" s="154"/>
      <c r="B221" s="155"/>
      <c r="C221" s="155"/>
      <c r="D221" s="155"/>
      <c r="E221" s="156"/>
      <c r="F221" s="157"/>
      <c r="G221" s="158"/>
      <c r="H221" s="159"/>
      <c r="I221" s="160"/>
      <c r="J221" s="202"/>
      <c r="K221" s="162"/>
      <c r="L221" s="163">
        <v>0</v>
      </c>
      <c r="M221" s="163">
        <v>0</v>
      </c>
      <c r="N221" s="164">
        <f>SUMPRODUCT(L221,M221)</f>
        <v>0</v>
      </c>
      <c r="O221" s="165"/>
      <c r="P221" s="166"/>
      <c r="Q221" s="166"/>
      <c r="R221" s="166"/>
      <c r="S221" s="166"/>
      <c r="T221" s="162"/>
      <c r="U221" s="163">
        <v>0</v>
      </c>
      <c r="V221" s="167"/>
      <c r="W221" s="162"/>
      <c r="X221" s="163">
        <v>0</v>
      </c>
      <c r="Y221" s="168"/>
      <c r="Z221" s="170"/>
    </row>
    <row r="222" spans="1:26" x14ac:dyDescent="0.3">
      <c r="A222" s="154"/>
      <c r="B222" s="155"/>
      <c r="C222" s="155"/>
      <c r="D222" s="155"/>
      <c r="E222" s="156"/>
      <c r="F222" s="157"/>
      <c r="G222" s="158"/>
      <c r="H222" s="159"/>
      <c r="I222" s="160"/>
      <c r="J222" s="202"/>
      <c r="K222" s="162"/>
      <c r="L222" s="163">
        <v>0</v>
      </c>
      <c r="M222" s="163">
        <v>0</v>
      </c>
      <c r="N222" s="164">
        <f>SUMPRODUCT(L222,M222)</f>
        <v>0</v>
      </c>
      <c r="O222" s="165"/>
      <c r="P222" s="166"/>
      <c r="Q222" s="166"/>
      <c r="R222" s="166"/>
      <c r="S222" s="166"/>
      <c r="T222" s="162"/>
      <c r="U222" s="163">
        <v>0</v>
      </c>
      <c r="V222" s="167"/>
      <c r="W222" s="162"/>
      <c r="X222" s="163">
        <v>0</v>
      </c>
      <c r="Y222" s="168"/>
      <c r="Z222" s="170"/>
    </row>
    <row r="223" spans="1:26" x14ac:dyDescent="0.3">
      <c r="A223" s="154"/>
      <c r="B223" s="155"/>
      <c r="C223" s="155"/>
      <c r="D223" s="155"/>
      <c r="E223" s="156"/>
      <c r="F223" s="157"/>
      <c r="G223" s="158"/>
      <c r="H223" s="159"/>
      <c r="I223" s="160"/>
      <c r="J223" s="202"/>
      <c r="K223" s="162"/>
      <c r="L223" s="163">
        <v>0</v>
      </c>
      <c r="M223" s="163">
        <v>0</v>
      </c>
      <c r="N223" s="164">
        <f>SUMPRODUCT(L223,M223)</f>
        <v>0</v>
      </c>
      <c r="O223" s="165"/>
      <c r="P223" s="166"/>
      <c r="Q223" s="166"/>
      <c r="R223" s="166"/>
      <c r="S223" s="166"/>
      <c r="T223" s="160"/>
      <c r="U223" s="163">
        <v>0</v>
      </c>
      <c r="V223" s="167"/>
      <c r="W223" s="160"/>
      <c r="X223" s="163">
        <v>0</v>
      </c>
      <c r="Y223" s="168"/>
      <c r="Z223" s="170"/>
    </row>
    <row r="224" spans="1:26" ht="15" thickBot="1" x14ac:dyDescent="0.35">
      <c r="A224" s="171"/>
      <c r="B224" s="172"/>
      <c r="C224" s="172"/>
      <c r="D224" s="172"/>
      <c r="E224" s="173"/>
      <c r="F224" s="174"/>
      <c r="G224" s="175"/>
      <c r="H224" s="176"/>
      <c r="I224" s="179"/>
      <c r="J224" s="203"/>
      <c r="K224" s="185"/>
      <c r="L224" s="180">
        <v>0</v>
      </c>
      <c r="M224" s="180">
        <v>0</v>
      </c>
      <c r="N224" s="186">
        <f>SUMPRODUCT(L224,M224)</f>
        <v>0</v>
      </c>
      <c r="O224" s="177"/>
      <c r="P224" s="178"/>
      <c r="Q224" s="178"/>
      <c r="R224" s="178"/>
      <c r="S224" s="178"/>
      <c r="T224" s="179"/>
      <c r="U224" s="180">
        <v>0</v>
      </c>
      <c r="V224" s="181"/>
      <c r="W224" s="179"/>
      <c r="X224" s="180">
        <v>0</v>
      </c>
      <c r="Y224" s="182"/>
      <c r="Z224" s="183"/>
    </row>
    <row r="225" spans="1:26" ht="24" customHeight="1" x14ac:dyDescent="0.3">
      <c r="A225" s="187" t="s">
        <v>23</v>
      </c>
      <c r="B225" s="188"/>
      <c r="C225" s="188"/>
      <c r="D225" s="188"/>
      <c r="E225" s="189"/>
      <c r="F225" s="190"/>
      <c r="G225" s="191">
        <f>SUM(G204:G224)</f>
        <v>0</v>
      </c>
      <c r="H225" s="192"/>
      <c r="I225" s="193"/>
      <c r="J225" s="204"/>
      <c r="K225" s="193"/>
      <c r="L225" s="195"/>
      <c r="M225" s="195"/>
      <c r="N225" s="196"/>
      <c r="O225" s="197">
        <f>SUM(O204:O224)</f>
        <v>0</v>
      </c>
      <c r="P225" s="193"/>
      <c r="Q225" s="193"/>
      <c r="R225" s="193"/>
      <c r="S225" s="193"/>
      <c r="T225" s="193"/>
      <c r="U225" s="195"/>
      <c r="V225" s="198"/>
      <c r="W225" s="193"/>
      <c r="X225" s="195"/>
      <c r="Y225" s="199"/>
      <c r="Z225" s="197">
        <f>SUM(Z204:Z224)</f>
        <v>0</v>
      </c>
    </row>
  </sheetData>
  <autoFilter ref="A3:Z3"/>
  <mergeCells count="466">
    <mergeCell ref="P26:P32"/>
    <mergeCell ref="Q26:Q32"/>
    <mergeCell ref="R26:R32"/>
    <mergeCell ref="S26:S32"/>
    <mergeCell ref="V26:V32"/>
    <mergeCell ref="V218:V224"/>
    <mergeCell ref="Y218:Y224"/>
    <mergeCell ref="Z218:Z224"/>
    <mergeCell ref="G218:G224"/>
    <mergeCell ref="O218:O224"/>
    <mergeCell ref="P218:P224"/>
    <mergeCell ref="Q218:Q224"/>
    <mergeCell ref="R218:R224"/>
    <mergeCell ref="S218:S224"/>
    <mergeCell ref="A218:A224"/>
    <mergeCell ref="B218:B224"/>
    <mergeCell ref="C218:C224"/>
    <mergeCell ref="D218:D224"/>
    <mergeCell ref="E218:E224"/>
    <mergeCell ref="F218:F224"/>
    <mergeCell ref="Q211:Q217"/>
    <mergeCell ref="R211:R217"/>
    <mergeCell ref="S211:S217"/>
    <mergeCell ref="V211:V217"/>
    <mergeCell ref="Y211:Y217"/>
    <mergeCell ref="Z211:Z217"/>
    <mergeCell ref="Z204:Z210"/>
    <mergeCell ref="A211:A217"/>
    <mergeCell ref="B211:B217"/>
    <mergeCell ref="C211:C217"/>
    <mergeCell ref="D211:D217"/>
    <mergeCell ref="E211:E217"/>
    <mergeCell ref="F211:F217"/>
    <mergeCell ref="G211:G217"/>
    <mergeCell ref="O211:O217"/>
    <mergeCell ref="P211:P217"/>
    <mergeCell ref="P204:P210"/>
    <mergeCell ref="Q204:Q210"/>
    <mergeCell ref="R204:R210"/>
    <mergeCell ref="S204:S210"/>
    <mergeCell ref="V204:V210"/>
    <mergeCell ref="Y204:Y210"/>
    <mergeCell ref="Y197:Y203"/>
    <mergeCell ref="Z197:Z203"/>
    <mergeCell ref="A204:A210"/>
    <mergeCell ref="B204:B210"/>
    <mergeCell ref="C204:C210"/>
    <mergeCell ref="D204:D210"/>
    <mergeCell ref="E204:E210"/>
    <mergeCell ref="F204:F210"/>
    <mergeCell ref="G204:G210"/>
    <mergeCell ref="O204:O210"/>
    <mergeCell ref="O197:O203"/>
    <mergeCell ref="P197:P203"/>
    <mergeCell ref="Q197:Q203"/>
    <mergeCell ref="R197:R203"/>
    <mergeCell ref="S197:S203"/>
    <mergeCell ref="V197:V203"/>
    <mergeCell ref="V190:V196"/>
    <mergeCell ref="Y190:Y196"/>
    <mergeCell ref="Z190:Z196"/>
    <mergeCell ref="A197:A203"/>
    <mergeCell ref="B197:B203"/>
    <mergeCell ref="C197:C203"/>
    <mergeCell ref="D197:D203"/>
    <mergeCell ref="E197:E203"/>
    <mergeCell ref="F197:F203"/>
    <mergeCell ref="G197:G203"/>
    <mergeCell ref="V183:V189"/>
    <mergeCell ref="Y183:Y189"/>
    <mergeCell ref="Z183:Z189"/>
    <mergeCell ref="A190:A196"/>
    <mergeCell ref="B190:B196"/>
    <mergeCell ref="C190:C196"/>
    <mergeCell ref="D190:D196"/>
    <mergeCell ref="E190:E196"/>
    <mergeCell ref="F190:F196"/>
    <mergeCell ref="G190:G196"/>
    <mergeCell ref="Z176:Z182"/>
    <mergeCell ref="A183:A189"/>
    <mergeCell ref="B183:B189"/>
    <mergeCell ref="C183:C189"/>
    <mergeCell ref="D183:D189"/>
    <mergeCell ref="E183:E189"/>
    <mergeCell ref="F183:F189"/>
    <mergeCell ref="G183:G189"/>
    <mergeCell ref="O183:O189"/>
    <mergeCell ref="P183:P189"/>
    <mergeCell ref="P176:P182"/>
    <mergeCell ref="Q176:Q182"/>
    <mergeCell ref="R176:R182"/>
    <mergeCell ref="S176:S182"/>
    <mergeCell ref="V176:V182"/>
    <mergeCell ref="Y176:Y182"/>
    <mergeCell ref="R168:R174"/>
    <mergeCell ref="S168:S174"/>
    <mergeCell ref="V168:V174"/>
    <mergeCell ref="Y168:Y174"/>
    <mergeCell ref="Z168:Z174"/>
    <mergeCell ref="A176:A182"/>
    <mergeCell ref="B176:B182"/>
    <mergeCell ref="C176:C182"/>
    <mergeCell ref="D176:D182"/>
    <mergeCell ref="E176:E182"/>
    <mergeCell ref="S161:S167"/>
    <mergeCell ref="V161:V167"/>
    <mergeCell ref="Y161:Y167"/>
    <mergeCell ref="Z161:Z167"/>
    <mergeCell ref="A168:A174"/>
    <mergeCell ref="B168:B174"/>
    <mergeCell ref="C168:C174"/>
    <mergeCell ref="D168:D174"/>
    <mergeCell ref="E168:E174"/>
    <mergeCell ref="F168:F174"/>
    <mergeCell ref="V154:V160"/>
    <mergeCell ref="Y154:Y160"/>
    <mergeCell ref="Z154:Z160"/>
    <mergeCell ref="A161:A167"/>
    <mergeCell ref="B161:B167"/>
    <mergeCell ref="C161:C167"/>
    <mergeCell ref="D161:D167"/>
    <mergeCell ref="E161:E167"/>
    <mergeCell ref="F161:F167"/>
    <mergeCell ref="G161:G167"/>
    <mergeCell ref="Q147:Q153"/>
    <mergeCell ref="R147:R153"/>
    <mergeCell ref="S147:S153"/>
    <mergeCell ref="V147:V153"/>
    <mergeCell ref="Y147:Y153"/>
    <mergeCell ref="Z147:Z153"/>
    <mergeCell ref="V140:V146"/>
    <mergeCell ref="Y140:Y146"/>
    <mergeCell ref="Z140:Z146"/>
    <mergeCell ref="A147:A153"/>
    <mergeCell ref="B147:B153"/>
    <mergeCell ref="C147:C153"/>
    <mergeCell ref="D147:D153"/>
    <mergeCell ref="E147:E153"/>
    <mergeCell ref="F147:F153"/>
    <mergeCell ref="G147:G153"/>
    <mergeCell ref="Y133:Y139"/>
    <mergeCell ref="Z133:Z139"/>
    <mergeCell ref="A140:A146"/>
    <mergeCell ref="B140:B146"/>
    <mergeCell ref="C140:C146"/>
    <mergeCell ref="D140:D146"/>
    <mergeCell ref="E140:E146"/>
    <mergeCell ref="F140:F146"/>
    <mergeCell ref="G140:G146"/>
    <mergeCell ref="O140:O146"/>
    <mergeCell ref="Y126:Y132"/>
    <mergeCell ref="Z126:Z132"/>
    <mergeCell ref="A133:A139"/>
    <mergeCell ref="B133:B139"/>
    <mergeCell ref="C133:C139"/>
    <mergeCell ref="D133:D139"/>
    <mergeCell ref="E133:E139"/>
    <mergeCell ref="F133:F139"/>
    <mergeCell ref="G133:G139"/>
    <mergeCell ref="O133:O139"/>
    <mergeCell ref="Z118:Z124"/>
    <mergeCell ref="A126:A132"/>
    <mergeCell ref="B126:B132"/>
    <mergeCell ref="C126:C132"/>
    <mergeCell ref="D126:D132"/>
    <mergeCell ref="E126:E132"/>
    <mergeCell ref="F126:F132"/>
    <mergeCell ref="G126:G132"/>
    <mergeCell ref="O126:O132"/>
    <mergeCell ref="P126:P132"/>
    <mergeCell ref="P118:P124"/>
    <mergeCell ref="Q118:Q124"/>
    <mergeCell ref="R118:R124"/>
    <mergeCell ref="S118:S124"/>
    <mergeCell ref="V118:V124"/>
    <mergeCell ref="Y118:Y124"/>
    <mergeCell ref="S111:S117"/>
    <mergeCell ref="V111:V117"/>
    <mergeCell ref="Y111:Y117"/>
    <mergeCell ref="Z111:Z117"/>
    <mergeCell ref="A118:A124"/>
    <mergeCell ref="B118:B124"/>
    <mergeCell ref="C118:C124"/>
    <mergeCell ref="D118:D124"/>
    <mergeCell ref="E118:E124"/>
    <mergeCell ref="F118:F124"/>
    <mergeCell ref="V104:V110"/>
    <mergeCell ref="Y104:Y110"/>
    <mergeCell ref="Z104:Z110"/>
    <mergeCell ref="A111:A117"/>
    <mergeCell ref="B111:B117"/>
    <mergeCell ref="C111:C117"/>
    <mergeCell ref="D111:D117"/>
    <mergeCell ref="E111:E117"/>
    <mergeCell ref="F111:F117"/>
    <mergeCell ref="G111:G117"/>
    <mergeCell ref="Y97:Y103"/>
    <mergeCell ref="Z97:Z103"/>
    <mergeCell ref="A104:A110"/>
    <mergeCell ref="B104:B110"/>
    <mergeCell ref="C104:C110"/>
    <mergeCell ref="D104:D110"/>
    <mergeCell ref="E104:E110"/>
    <mergeCell ref="F104:F110"/>
    <mergeCell ref="G104:G110"/>
    <mergeCell ref="O104:O110"/>
    <mergeCell ref="Y90:Y96"/>
    <mergeCell ref="Z90:Z96"/>
    <mergeCell ref="A97:A103"/>
    <mergeCell ref="B97:B103"/>
    <mergeCell ref="C97:C103"/>
    <mergeCell ref="D97:D103"/>
    <mergeCell ref="E97:E103"/>
    <mergeCell ref="F97:F103"/>
    <mergeCell ref="G97:G103"/>
    <mergeCell ref="O97:O103"/>
    <mergeCell ref="Y83:Y89"/>
    <mergeCell ref="A90:A96"/>
    <mergeCell ref="B90:B96"/>
    <mergeCell ref="C90:C96"/>
    <mergeCell ref="D90:D96"/>
    <mergeCell ref="E90:E96"/>
    <mergeCell ref="F90:F96"/>
    <mergeCell ref="G90:G96"/>
    <mergeCell ref="O90:O96"/>
    <mergeCell ref="P90:P96"/>
    <mergeCell ref="Q76:Q82"/>
    <mergeCell ref="R76:R82"/>
    <mergeCell ref="S76:S82"/>
    <mergeCell ref="V76:V82"/>
    <mergeCell ref="Y76:Y82"/>
    <mergeCell ref="P83:P89"/>
    <mergeCell ref="Q83:Q89"/>
    <mergeCell ref="R83:R89"/>
    <mergeCell ref="S83:S89"/>
    <mergeCell ref="V83:V89"/>
    <mergeCell ref="S61:S67"/>
    <mergeCell ref="V61:V67"/>
    <mergeCell ref="Y61:Y67"/>
    <mergeCell ref="P68:P74"/>
    <mergeCell ref="Q68:Q74"/>
    <mergeCell ref="R68:R74"/>
    <mergeCell ref="S68:S74"/>
    <mergeCell ref="V68:V74"/>
    <mergeCell ref="Y68:Y74"/>
    <mergeCell ref="Q47:Q53"/>
    <mergeCell ref="R47:R53"/>
    <mergeCell ref="S47:S53"/>
    <mergeCell ref="V47:V53"/>
    <mergeCell ref="Y47:Y53"/>
    <mergeCell ref="P54:P60"/>
    <mergeCell ref="Q54:Q60"/>
    <mergeCell ref="R54:R60"/>
    <mergeCell ref="S54:S60"/>
    <mergeCell ref="V54:V60"/>
    <mergeCell ref="S33:S39"/>
    <mergeCell ref="V33:V39"/>
    <mergeCell ref="Y33:Y39"/>
    <mergeCell ref="P40:P46"/>
    <mergeCell ref="Q40:Q46"/>
    <mergeCell ref="R40:R46"/>
    <mergeCell ref="S40:S46"/>
    <mergeCell ref="V40:V46"/>
    <mergeCell ref="Y40:Y46"/>
    <mergeCell ref="Q18:Q24"/>
    <mergeCell ref="R18:R24"/>
    <mergeCell ref="S18:S24"/>
    <mergeCell ref="V18:V24"/>
    <mergeCell ref="Y18:Y24"/>
    <mergeCell ref="P11:P17"/>
    <mergeCell ref="Q11:Q17"/>
    <mergeCell ref="R11:R17"/>
    <mergeCell ref="S11:S17"/>
    <mergeCell ref="V11:V17"/>
    <mergeCell ref="Y11:Y17"/>
    <mergeCell ref="E83:E89"/>
    <mergeCell ref="F83:F89"/>
    <mergeCell ref="G83:G89"/>
    <mergeCell ref="O83:O89"/>
    <mergeCell ref="Z83:Z89"/>
    <mergeCell ref="Y4:Y10"/>
    <mergeCell ref="V4:V10"/>
    <mergeCell ref="P4:P10"/>
    <mergeCell ref="S4:S10"/>
    <mergeCell ref="Q4:Q10"/>
    <mergeCell ref="E54:E60"/>
    <mergeCell ref="F54:F60"/>
    <mergeCell ref="G54:G60"/>
    <mergeCell ref="O54:O60"/>
    <mergeCell ref="Z54:Z60"/>
    <mergeCell ref="A61:A67"/>
    <mergeCell ref="B61:B67"/>
    <mergeCell ref="C61:C67"/>
    <mergeCell ref="D61:D67"/>
    <mergeCell ref="E61:E67"/>
    <mergeCell ref="E26:E32"/>
    <mergeCell ref="F26:F32"/>
    <mergeCell ref="G26:G32"/>
    <mergeCell ref="O26:O32"/>
    <mergeCell ref="Z26:Z32"/>
    <mergeCell ref="O4:O10"/>
    <mergeCell ref="A11:A17"/>
    <mergeCell ref="B11:B17"/>
    <mergeCell ref="C11:C17"/>
    <mergeCell ref="D11:D17"/>
    <mergeCell ref="E11:E17"/>
    <mergeCell ref="F11:F17"/>
    <mergeCell ref="G11:G17"/>
    <mergeCell ref="O11:O17"/>
    <mergeCell ref="R4:R10"/>
    <mergeCell ref="O190:O196"/>
    <mergeCell ref="P190:P196"/>
    <mergeCell ref="Q190:Q196"/>
    <mergeCell ref="R190:R196"/>
    <mergeCell ref="S190:S196"/>
    <mergeCell ref="Q183:Q189"/>
    <mergeCell ref="R183:R189"/>
    <mergeCell ref="S183:S189"/>
    <mergeCell ref="G176:G182"/>
    <mergeCell ref="O176:O182"/>
    <mergeCell ref="F176:F182"/>
    <mergeCell ref="G168:G174"/>
    <mergeCell ref="O168:O174"/>
    <mergeCell ref="P168:P174"/>
    <mergeCell ref="Q168:Q174"/>
    <mergeCell ref="O161:O167"/>
    <mergeCell ref="P161:P167"/>
    <mergeCell ref="Q161:Q167"/>
    <mergeCell ref="R161:R167"/>
    <mergeCell ref="G154:G160"/>
    <mergeCell ref="O154:O160"/>
    <mergeCell ref="P154:P160"/>
    <mergeCell ref="Q154:Q160"/>
    <mergeCell ref="A154:A160"/>
    <mergeCell ref="B154:B160"/>
    <mergeCell ref="C154:C160"/>
    <mergeCell ref="D154:D160"/>
    <mergeCell ref="R154:R160"/>
    <mergeCell ref="S154:S160"/>
    <mergeCell ref="E154:E160"/>
    <mergeCell ref="F154:F160"/>
    <mergeCell ref="O147:O153"/>
    <mergeCell ref="P147:P153"/>
    <mergeCell ref="P140:P146"/>
    <mergeCell ref="Q140:Q146"/>
    <mergeCell ref="R140:R146"/>
    <mergeCell ref="S140:S146"/>
    <mergeCell ref="P133:P139"/>
    <mergeCell ref="Q133:Q139"/>
    <mergeCell ref="R133:R139"/>
    <mergeCell ref="S133:S139"/>
    <mergeCell ref="V133:V139"/>
    <mergeCell ref="Q126:Q132"/>
    <mergeCell ref="R126:R132"/>
    <mergeCell ref="S126:S132"/>
    <mergeCell ref="V126:V132"/>
    <mergeCell ref="G118:G124"/>
    <mergeCell ref="O118:O124"/>
    <mergeCell ref="O111:O117"/>
    <mergeCell ref="P111:P117"/>
    <mergeCell ref="Q111:Q117"/>
    <mergeCell ref="R111:R117"/>
    <mergeCell ref="P104:P110"/>
    <mergeCell ref="Q104:Q110"/>
    <mergeCell ref="R104:R110"/>
    <mergeCell ref="S104:S110"/>
    <mergeCell ref="P97:P103"/>
    <mergeCell ref="Q97:Q103"/>
    <mergeCell ref="R97:R103"/>
    <mergeCell ref="S97:S103"/>
    <mergeCell ref="V97:V103"/>
    <mergeCell ref="Q90:Q96"/>
    <mergeCell ref="R90:R96"/>
    <mergeCell ref="S90:S96"/>
    <mergeCell ref="V90:V96"/>
    <mergeCell ref="A83:A89"/>
    <mergeCell ref="B83:B89"/>
    <mergeCell ref="C83:C89"/>
    <mergeCell ref="D83:D89"/>
    <mergeCell ref="G76:G82"/>
    <mergeCell ref="O76:O82"/>
    <mergeCell ref="A76:A82"/>
    <mergeCell ref="B76:B82"/>
    <mergeCell ref="C76:C82"/>
    <mergeCell ref="D76:D82"/>
    <mergeCell ref="Z76:Z82"/>
    <mergeCell ref="P76:P82"/>
    <mergeCell ref="E76:E82"/>
    <mergeCell ref="F76:F82"/>
    <mergeCell ref="G68:G74"/>
    <mergeCell ref="O68:O74"/>
    <mergeCell ref="A68:A74"/>
    <mergeCell ref="B68:B74"/>
    <mergeCell ref="C68:C74"/>
    <mergeCell ref="D68:D74"/>
    <mergeCell ref="Z68:Z74"/>
    <mergeCell ref="P61:P67"/>
    <mergeCell ref="Q61:Q67"/>
    <mergeCell ref="R61:R67"/>
    <mergeCell ref="E68:E74"/>
    <mergeCell ref="F68:F74"/>
    <mergeCell ref="G61:G67"/>
    <mergeCell ref="O61:O67"/>
    <mergeCell ref="F61:F67"/>
    <mergeCell ref="Z61:Z67"/>
    <mergeCell ref="Y54:Y60"/>
    <mergeCell ref="A54:A60"/>
    <mergeCell ref="B54:B60"/>
    <mergeCell ref="C54:C60"/>
    <mergeCell ref="D54:D60"/>
    <mergeCell ref="G47:G53"/>
    <mergeCell ref="O47:O53"/>
    <mergeCell ref="A47:A53"/>
    <mergeCell ref="B47:B53"/>
    <mergeCell ref="C47:C53"/>
    <mergeCell ref="D47:D53"/>
    <mergeCell ref="Z47:Z53"/>
    <mergeCell ref="P47:P53"/>
    <mergeCell ref="E47:E53"/>
    <mergeCell ref="F47:F53"/>
    <mergeCell ref="G40:G46"/>
    <mergeCell ref="O40:O46"/>
    <mergeCell ref="A40:A46"/>
    <mergeCell ref="B40:B46"/>
    <mergeCell ref="C40:C46"/>
    <mergeCell ref="D40:D46"/>
    <mergeCell ref="Z40:Z46"/>
    <mergeCell ref="P33:P39"/>
    <mergeCell ref="E40:E46"/>
    <mergeCell ref="F40:F46"/>
    <mergeCell ref="A33:A39"/>
    <mergeCell ref="B33:B39"/>
    <mergeCell ref="G33:G39"/>
    <mergeCell ref="O33:O39"/>
    <mergeCell ref="F33:F39"/>
    <mergeCell ref="C33:C39"/>
    <mergeCell ref="D33:D39"/>
    <mergeCell ref="E33:E39"/>
    <mergeCell ref="Z33:Z39"/>
    <mergeCell ref="Y26:Y32"/>
    <mergeCell ref="Q33:Q39"/>
    <mergeCell ref="R33:R39"/>
    <mergeCell ref="A26:A32"/>
    <mergeCell ref="B26:B32"/>
    <mergeCell ref="C26:C32"/>
    <mergeCell ref="D26:D32"/>
    <mergeCell ref="G18:G24"/>
    <mergeCell ref="O18:O24"/>
    <mergeCell ref="A18:A24"/>
    <mergeCell ref="B18:B24"/>
    <mergeCell ref="C18:C24"/>
    <mergeCell ref="D18:D24"/>
    <mergeCell ref="Z18:Z24"/>
    <mergeCell ref="P18:P24"/>
    <mergeCell ref="E18:E24"/>
    <mergeCell ref="F18:F24"/>
    <mergeCell ref="Z11:Z17"/>
    <mergeCell ref="Z4:Z10"/>
    <mergeCell ref="A1:Z2"/>
    <mergeCell ref="A4:A10"/>
    <mergeCell ref="B4:B10"/>
    <mergeCell ref="C4:C10"/>
    <mergeCell ref="D4:D10"/>
    <mergeCell ref="E4:E10"/>
    <mergeCell ref="F4:F10"/>
    <mergeCell ref="G4:G10"/>
  </mergeCell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Z253"/>
  <sheetViews>
    <sheetView tabSelected="1" zoomScale="71" zoomScaleNormal="71" workbookViewId="0">
      <pane xSplit="7" ySplit="3" topLeftCell="H4" activePane="bottomRight" state="frozen"/>
      <selection pane="topRight" activeCell="H1" sqref="H1"/>
      <selection pane="bottomLeft" activeCell="A4" sqref="A4"/>
      <selection pane="bottomRight" activeCell="Z3" sqref="A3:Z3"/>
    </sheetView>
  </sheetViews>
  <sheetFormatPr defaultRowHeight="14.4" x14ac:dyDescent="0.3"/>
  <cols>
    <col min="1" max="1" width="22.21875" bestFit="1" customWidth="1"/>
    <col min="2" max="2" width="6.6640625" customWidth="1"/>
    <col min="3" max="3" width="7.109375" customWidth="1"/>
    <col min="4" max="4" width="6.33203125" customWidth="1"/>
    <col min="5" max="5" width="8.77734375" bestFit="1" customWidth="1"/>
    <col min="6" max="6" width="5.77734375" customWidth="1"/>
    <col min="7" max="7" width="8.109375" bestFit="1" customWidth="1"/>
    <col min="8" max="8" width="8.44140625" bestFit="1" customWidth="1"/>
    <col min="9" max="9" width="10.109375" bestFit="1" customWidth="1"/>
    <col min="10" max="10" width="11.77734375" bestFit="1" customWidth="1"/>
    <col min="11" max="11" width="10" bestFit="1" customWidth="1"/>
    <col min="12" max="12" width="8.6640625" customWidth="1"/>
    <col min="13" max="13" width="5.33203125" bestFit="1" customWidth="1"/>
    <col min="14" max="14" width="7.6640625" customWidth="1"/>
    <col min="15" max="15" width="15.77734375" bestFit="1" customWidth="1"/>
    <col min="16" max="17" width="9.5546875" bestFit="1" customWidth="1"/>
    <col min="18" max="18" width="11.44140625" bestFit="1" customWidth="1"/>
    <col min="19" max="19" width="10.109375" bestFit="1" customWidth="1"/>
    <col min="20" max="20" width="16.5546875" bestFit="1" customWidth="1"/>
    <col min="21" max="21" width="7.21875" customWidth="1"/>
    <col min="24" max="24" width="7.109375" customWidth="1"/>
    <col min="26" max="26" width="12.5546875" bestFit="1" customWidth="1"/>
  </cols>
  <sheetData>
    <row r="1" spans="1:26" x14ac:dyDescent="0.3">
      <c r="A1" s="127" t="s">
        <v>38</v>
      </c>
      <c r="B1" s="128"/>
      <c r="C1" s="128"/>
      <c r="D1" s="128"/>
      <c r="E1" s="128"/>
      <c r="F1" s="128"/>
      <c r="G1" s="128"/>
      <c r="H1" s="128"/>
      <c r="I1" s="128"/>
      <c r="J1" s="128"/>
      <c r="K1" s="128"/>
      <c r="L1" s="128"/>
      <c r="M1" s="128"/>
      <c r="N1" s="128"/>
      <c r="O1" s="128"/>
      <c r="P1" s="128"/>
      <c r="Q1" s="128"/>
      <c r="R1" s="128"/>
      <c r="S1" s="128"/>
      <c r="T1" s="128"/>
      <c r="U1" s="128"/>
      <c r="V1" s="128"/>
      <c r="W1" s="128"/>
      <c r="X1" s="128"/>
      <c r="Y1" s="128"/>
      <c r="Z1" s="129"/>
    </row>
    <row r="2" spans="1:26" x14ac:dyDescent="0.3">
      <c r="A2" s="130"/>
      <c r="B2" s="131"/>
      <c r="C2" s="131"/>
      <c r="D2" s="131"/>
      <c r="E2" s="131"/>
      <c r="F2" s="131"/>
      <c r="G2" s="131"/>
      <c r="H2" s="131"/>
      <c r="I2" s="131"/>
      <c r="J2" s="131"/>
      <c r="K2" s="131"/>
      <c r="L2" s="131"/>
      <c r="M2" s="131"/>
      <c r="N2" s="131"/>
      <c r="O2" s="131"/>
      <c r="P2" s="131"/>
      <c r="Q2" s="131"/>
      <c r="R2" s="131"/>
      <c r="S2" s="131"/>
      <c r="T2" s="131"/>
      <c r="U2" s="131"/>
      <c r="V2" s="131"/>
      <c r="W2" s="131"/>
      <c r="X2" s="131"/>
      <c r="Y2" s="131"/>
      <c r="Z2" s="132"/>
    </row>
    <row r="3" spans="1:26" ht="24.6" thickBot="1" x14ac:dyDescent="0.35">
      <c r="A3" s="133" t="s">
        <v>0</v>
      </c>
      <c r="B3" s="134" t="s">
        <v>1</v>
      </c>
      <c r="C3" s="134" t="s">
        <v>2</v>
      </c>
      <c r="D3" s="134" t="s">
        <v>11</v>
      </c>
      <c r="E3" s="135" t="s">
        <v>12</v>
      </c>
      <c r="F3" s="134" t="s">
        <v>13</v>
      </c>
      <c r="G3" s="134" t="s">
        <v>14</v>
      </c>
      <c r="H3" s="134" t="s">
        <v>18</v>
      </c>
      <c r="I3" s="134" t="s">
        <v>9</v>
      </c>
      <c r="J3" s="135" t="s">
        <v>6</v>
      </c>
      <c r="K3" s="135" t="s">
        <v>15</v>
      </c>
      <c r="L3" s="133" t="s">
        <v>24</v>
      </c>
      <c r="M3" s="133" t="s">
        <v>25</v>
      </c>
      <c r="N3" s="133" t="s">
        <v>26</v>
      </c>
      <c r="O3" s="133" t="s">
        <v>10</v>
      </c>
      <c r="P3" s="136" t="s">
        <v>33</v>
      </c>
      <c r="Q3" s="136" t="s">
        <v>34</v>
      </c>
      <c r="R3" s="136" t="s">
        <v>35</v>
      </c>
      <c r="S3" s="136" t="s">
        <v>7</v>
      </c>
      <c r="T3" s="137" t="s">
        <v>21</v>
      </c>
      <c r="U3" s="137" t="s">
        <v>3</v>
      </c>
      <c r="V3" s="137" t="s">
        <v>32</v>
      </c>
      <c r="W3" s="137" t="s">
        <v>8</v>
      </c>
      <c r="X3" s="137" t="s">
        <v>3</v>
      </c>
      <c r="Y3" s="137" t="s">
        <v>31</v>
      </c>
      <c r="Z3" s="133" t="s">
        <v>5</v>
      </c>
    </row>
    <row r="4" spans="1:26" x14ac:dyDescent="0.3">
      <c r="A4" s="138">
        <v>44044</v>
      </c>
      <c r="B4" s="139"/>
      <c r="C4" s="139"/>
      <c r="D4" s="139">
        <f>SUM(C4-B4)</f>
        <v>0</v>
      </c>
      <c r="E4" s="140">
        <f>SUM(D4)</f>
        <v>0</v>
      </c>
      <c r="F4" s="141">
        <v>1527</v>
      </c>
      <c r="G4" s="142">
        <f>PRODUCT(E4,36000)</f>
        <v>0</v>
      </c>
      <c r="H4" s="143"/>
      <c r="I4" s="144"/>
      <c r="J4" s="145"/>
      <c r="K4" s="146"/>
      <c r="L4" s="147">
        <v>0</v>
      </c>
      <c r="M4" s="147">
        <v>0</v>
      </c>
      <c r="N4" s="148">
        <f>SUMPRODUCT(L4,M4)</f>
        <v>0</v>
      </c>
      <c r="O4" s="149">
        <f>SUM(N4:N10)</f>
        <v>0</v>
      </c>
      <c r="P4" s="150"/>
      <c r="Q4" s="150"/>
      <c r="R4" s="150"/>
      <c r="S4" s="150"/>
      <c r="T4" s="146"/>
      <c r="U4" s="147">
        <v>0</v>
      </c>
      <c r="V4" s="151">
        <f>U4:U10</f>
        <v>0</v>
      </c>
      <c r="W4" s="146"/>
      <c r="X4" s="147">
        <v>0</v>
      </c>
      <c r="Y4" s="152">
        <f>X4:X10</f>
        <v>0</v>
      </c>
      <c r="Z4" s="153">
        <f>G4+O4+V4-Y4</f>
        <v>0</v>
      </c>
    </row>
    <row r="5" spans="1:26" x14ac:dyDescent="0.3">
      <c r="A5" s="154"/>
      <c r="B5" s="155"/>
      <c r="C5" s="155"/>
      <c r="D5" s="155"/>
      <c r="E5" s="156"/>
      <c r="F5" s="157"/>
      <c r="G5" s="158"/>
      <c r="H5" s="159"/>
      <c r="I5" s="160"/>
      <c r="J5" s="161"/>
      <c r="K5" s="162"/>
      <c r="L5" s="163">
        <v>0</v>
      </c>
      <c r="M5" s="163">
        <v>0</v>
      </c>
      <c r="N5" s="164">
        <f>SUMPRODUCT(L5,M5)</f>
        <v>0</v>
      </c>
      <c r="O5" s="165"/>
      <c r="P5" s="166"/>
      <c r="Q5" s="166"/>
      <c r="R5" s="166"/>
      <c r="S5" s="166"/>
      <c r="T5" s="162"/>
      <c r="U5" s="163">
        <v>0</v>
      </c>
      <c r="V5" s="167"/>
      <c r="W5" s="162"/>
      <c r="X5" s="163">
        <v>0</v>
      </c>
      <c r="Y5" s="168"/>
      <c r="Z5" s="169"/>
    </row>
    <row r="6" spans="1:26" x14ac:dyDescent="0.3">
      <c r="A6" s="154"/>
      <c r="B6" s="155"/>
      <c r="C6" s="155"/>
      <c r="D6" s="155"/>
      <c r="E6" s="156"/>
      <c r="F6" s="157"/>
      <c r="G6" s="158"/>
      <c r="H6" s="159"/>
      <c r="I6" s="160"/>
      <c r="J6" s="161"/>
      <c r="K6" s="162"/>
      <c r="L6" s="163">
        <v>0</v>
      </c>
      <c r="M6" s="163">
        <v>0</v>
      </c>
      <c r="N6" s="164">
        <f>SUMPRODUCT(L6,M6)</f>
        <v>0</v>
      </c>
      <c r="O6" s="165"/>
      <c r="P6" s="166"/>
      <c r="Q6" s="166"/>
      <c r="R6" s="166"/>
      <c r="S6" s="166"/>
      <c r="T6" s="162"/>
      <c r="U6" s="163">
        <v>0</v>
      </c>
      <c r="V6" s="167"/>
      <c r="W6" s="162"/>
      <c r="X6" s="163">
        <v>0</v>
      </c>
      <c r="Y6" s="168"/>
      <c r="Z6" s="169"/>
    </row>
    <row r="7" spans="1:26" x14ac:dyDescent="0.3">
      <c r="A7" s="154"/>
      <c r="B7" s="155"/>
      <c r="C7" s="155"/>
      <c r="D7" s="155"/>
      <c r="E7" s="156"/>
      <c r="F7" s="157"/>
      <c r="G7" s="158"/>
      <c r="H7" s="159"/>
      <c r="I7" s="160"/>
      <c r="J7" s="161"/>
      <c r="K7" s="162"/>
      <c r="L7" s="163">
        <v>0</v>
      </c>
      <c r="M7" s="163">
        <v>0</v>
      </c>
      <c r="N7" s="164">
        <f>SUMPRODUCT(L7,M7)</f>
        <v>0</v>
      </c>
      <c r="O7" s="165"/>
      <c r="P7" s="166"/>
      <c r="Q7" s="166"/>
      <c r="R7" s="166"/>
      <c r="S7" s="166"/>
      <c r="T7" s="162"/>
      <c r="U7" s="163">
        <v>0</v>
      </c>
      <c r="V7" s="167"/>
      <c r="W7" s="162"/>
      <c r="X7" s="163">
        <v>0</v>
      </c>
      <c r="Y7" s="168"/>
      <c r="Z7" s="170"/>
    </row>
    <row r="8" spans="1:26" x14ac:dyDescent="0.3">
      <c r="A8" s="154"/>
      <c r="B8" s="155"/>
      <c r="C8" s="155"/>
      <c r="D8" s="155"/>
      <c r="E8" s="156"/>
      <c r="F8" s="157"/>
      <c r="G8" s="158"/>
      <c r="H8" s="159"/>
      <c r="I8" s="160"/>
      <c r="J8" s="161"/>
      <c r="K8" s="162"/>
      <c r="L8" s="163">
        <v>0</v>
      </c>
      <c r="M8" s="163">
        <v>0</v>
      </c>
      <c r="N8" s="164">
        <f>SUMPRODUCT(L8,M8)</f>
        <v>0</v>
      </c>
      <c r="O8" s="165"/>
      <c r="P8" s="166"/>
      <c r="Q8" s="166"/>
      <c r="R8" s="166"/>
      <c r="S8" s="166"/>
      <c r="T8" s="162"/>
      <c r="U8" s="163">
        <v>0</v>
      </c>
      <c r="V8" s="167"/>
      <c r="W8" s="162"/>
      <c r="X8" s="163">
        <v>0</v>
      </c>
      <c r="Y8" s="168"/>
      <c r="Z8" s="170"/>
    </row>
    <row r="9" spans="1:26" x14ac:dyDescent="0.3">
      <c r="A9" s="154"/>
      <c r="B9" s="155"/>
      <c r="C9" s="155"/>
      <c r="D9" s="155"/>
      <c r="E9" s="156"/>
      <c r="F9" s="157"/>
      <c r="G9" s="158"/>
      <c r="H9" s="159"/>
      <c r="I9" s="160"/>
      <c r="J9" s="161"/>
      <c r="K9" s="162"/>
      <c r="L9" s="163">
        <v>0</v>
      </c>
      <c r="M9" s="163">
        <v>0</v>
      </c>
      <c r="N9" s="164">
        <f>SUMPRODUCT(L9,M9)</f>
        <v>0</v>
      </c>
      <c r="O9" s="165"/>
      <c r="P9" s="166"/>
      <c r="Q9" s="166"/>
      <c r="R9" s="166"/>
      <c r="S9" s="166"/>
      <c r="T9" s="160"/>
      <c r="U9" s="163">
        <v>0</v>
      </c>
      <c r="V9" s="167"/>
      <c r="W9" s="160"/>
      <c r="X9" s="163">
        <v>0</v>
      </c>
      <c r="Y9" s="168"/>
      <c r="Z9" s="170"/>
    </row>
    <row r="10" spans="1:26" ht="15" thickBot="1" x14ac:dyDescent="0.35">
      <c r="A10" s="171"/>
      <c r="B10" s="172"/>
      <c r="C10" s="172"/>
      <c r="D10" s="172"/>
      <c r="E10" s="173"/>
      <c r="F10" s="174"/>
      <c r="G10" s="175"/>
      <c r="H10" s="176"/>
      <c r="I10" s="160"/>
      <c r="J10" s="161"/>
      <c r="K10" s="162"/>
      <c r="L10" s="163">
        <v>0</v>
      </c>
      <c r="M10" s="163">
        <v>0</v>
      </c>
      <c r="N10" s="164">
        <f>SUMPRODUCT(L10,M10)</f>
        <v>0</v>
      </c>
      <c r="O10" s="177"/>
      <c r="P10" s="178"/>
      <c r="Q10" s="178"/>
      <c r="R10" s="178"/>
      <c r="S10" s="178"/>
      <c r="T10" s="179"/>
      <c r="U10" s="180">
        <v>0</v>
      </c>
      <c r="V10" s="181"/>
      <c r="W10" s="179"/>
      <c r="X10" s="180">
        <v>0</v>
      </c>
      <c r="Y10" s="182"/>
      <c r="Z10" s="183"/>
    </row>
    <row r="11" spans="1:26" x14ac:dyDescent="0.3">
      <c r="A11" s="138">
        <v>44045</v>
      </c>
      <c r="B11" s="139"/>
      <c r="C11" s="139"/>
      <c r="D11" s="139">
        <f>SUM(C11-B11)</f>
        <v>0</v>
      </c>
      <c r="E11" s="140">
        <f>SUM(D11)</f>
        <v>0</v>
      </c>
      <c r="F11" s="141">
        <v>1528</v>
      </c>
      <c r="G11" s="142">
        <f>PRODUCT(E11,36000)</f>
        <v>0</v>
      </c>
      <c r="H11" s="143"/>
      <c r="I11" s="144"/>
      <c r="J11" s="145"/>
      <c r="K11" s="146"/>
      <c r="L11" s="147">
        <v>0</v>
      </c>
      <c r="M11" s="147">
        <v>0</v>
      </c>
      <c r="N11" s="148">
        <f>SUMPRODUCT(L11,M11)</f>
        <v>0</v>
      </c>
      <c r="O11" s="149">
        <f>SUM(N11:N17)</f>
        <v>0</v>
      </c>
      <c r="P11" s="150"/>
      <c r="Q11" s="150"/>
      <c r="R11" s="150"/>
      <c r="S11" s="150"/>
      <c r="T11" s="146"/>
      <c r="U11" s="147">
        <v>0</v>
      </c>
      <c r="V11" s="151">
        <f>U11:U17</f>
        <v>0</v>
      </c>
      <c r="W11" s="146"/>
      <c r="X11" s="147">
        <v>0</v>
      </c>
      <c r="Y11" s="152">
        <f>X11:X17</f>
        <v>0</v>
      </c>
      <c r="Z11" s="153">
        <f>G11+O11+V11-Y11</f>
        <v>0</v>
      </c>
    </row>
    <row r="12" spans="1:26" x14ac:dyDescent="0.3">
      <c r="A12" s="154"/>
      <c r="B12" s="155"/>
      <c r="C12" s="155"/>
      <c r="D12" s="155"/>
      <c r="E12" s="156"/>
      <c r="F12" s="157"/>
      <c r="G12" s="158"/>
      <c r="H12" s="159"/>
      <c r="I12" s="160"/>
      <c r="J12" s="161"/>
      <c r="K12" s="162"/>
      <c r="L12" s="163">
        <v>0</v>
      </c>
      <c r="M12" s="163">
        <v>0</v>
      </c>
      <c r="N12" s="164">
        <f>SUMPRODUCT(L12,M12)</f>
        <v>0</v>
      </c>
      <c r="O12" s="165"/>
      <c r="P12" s="166"/>
      <c r="Q12" s="166"/>
      <c r="R12" s="166"/>
      <c r="S12" s="166"/>
      <c r="T12" s="162"/>
      <c r="U12" s="163">
        <v>0</v>
      </c>
      <c r="V12" s="167"/>
      <c r="W12" s="162"/>
      <c r="X12" s="163">
        <v>0</v>
      </c>
      <c r="Y12" s="168"/>
      <c r="Z12" s="169"/>
    </row>
    <row r="13" spans="1:26" x14ac:dyDescent="0.3">
      <c r="A13" s="154"/>
      <c r="B13" s="155"/>
      <c r="C13" s="155"/>
      <c r="D13" s="155"/>
      <c r="E13" s="156"/>
      <c r="F13" s="157"/>
      <c r="G13" s="158"/>
      <c r="H13" s="159"/>
      <c r="I13" s="160"/>
      <c r="J13" s="161"/>
      <c r="K13" s="162"/>
      <c r="L13" s="163">
        <v>0</v>
      </c>
      <c r="M13" s="163">
        <v>0</v>
      </c>
      <c r="N13" s="164">
        <f>SUMPRODUCT(L13,M13)</f>
        <v>0</v>
      </c>
      <c r="O13" s="165"/>
      <c r="P13" s="166"/>
      <c r="Q13" s="166"/>
      <c r="R13" s="166"/>
      <c r="S13" s="166"/>
      <c r="T13" s="162"/>
      <c r="U13" s="163">
        <v>0</v>
      </c>
      <c r="V13" s="167"/>
      <c r="W13" s="162"/>
      <c r="X13" s="163">
        <v>0</v>
      </c>
      <c r="Y13" s="168"/>
      <c r="Z13" s="169"/>
    </row>
    <row r="14" spans="1:26" x14ac:dyDescent="0.3">
      <c r="A14" s="154"/>
      <c r="B14" s="155"/>
      <c r="C14" s="155"/>
      <c r="D14" s="155"/>
      <c r="E14" s="156"/>
      <c r="F14" s="157"/>
      <c r="G14" s="158"/>
      <c r="H14" s="159"/>
      <c r="I14" s="160"/>
      <c r="J14" s="161"/>
      <c r="K14" s="162"/>
      <c r="L14" s="163">
        <v>0</v>
      </c>
      <c r="M14" s="163">
        <v>0</v>
      </c>
      <c r="N14" s="164">
        <f>SUMPRODUCT(L14,M14)</f>
        <v>0</v>
      </c>
      <c r="O14" s="165"/>
      <c r="P14" s="166"/>
      <c r="Q14" s="166"/>
      <c r="R14" s="166"/>
      <c r="S14" s="166"/>
      <c r="T14" s="162"/>
      <c r="U14" s="163">
        <v>0</v>
      </c>
      <c r="V14" s="167"/>
      <c r="W14" s="162"/>
      <c r="X14" s="163">
        <v>0</v>
      </c>
      <c r="Y14" s="168"/>
      <c r="Z14" s="170"/>
    </row>
    <row r="15" spans="1:26" x14ac:dyDescent="0.3">
      <c r="A15" s="154"/>
      <c r="B15" s="155"/>
      <c r="C15" s="155"/>
      <c r="D15" s="155"/>
      <c r="E15" s="156"/>
      <c r="F15" s="157"/>
      <c r="G15" s="158"/>
      <c r="H15" s="159"/>
      <c r="I15" s="160"/>
      <c r="J15" s="161"/>
      <c r="K15" s="162"/>
      <c r="L15" s="163">
        <v>0</v>
      </c>
      <c r="M15" s="163">
        <v>0</v>
      </c>
      <c r="N15" s="164">
        <f>SUMPRODUCT(L15,M15)</f>
        <v>0</v>
      </c>
      <c r="O15" s="165"/>
      <c r="P15" s="166"/>
      <c r="Q15" s="166"/>
      <c r="R15" s="166"/>
      <c r="S15" s="166"/>
      <c r="T15" s="162"/>
      <c r="U15" s="163">
        <v>0</v>
      </c>
      <c r="V15" s="167"/>
      <c r="W15" s="162"/>
      <c r="X15" s="163">
        <v>0</v>
      </c>
      <c r="Y15" s="168"/>
      <c r="Z15" s="170"/>
    </row>
    <row r="16" spans="1:26" x14ac:dyDescent="0.3">
      <c r="A16" s="154"/>
      <c r="B16" s="155"/>
      <c r="C16" s="155"/>
      <c r="D16" s="155"/>
      <c r="E16" s="156"/>
      <c r="F16" s="157"/>
      <c r="G16" s="158"/>
      <c r="H16" s="159"/>
      <c r="I16" s="160"/>
      <c r="J16" s="161"/>
      <c r="K16" s="162"/>
      <c r="L16" s="163">
        <v>0</v>
      </c>
      <c r="M16" s="163">
        <v>0</v>
      </c>
      <c r="N16" s="164">
        <f>SUMPRODUCT(L16,M16)</f>
        <v>0</v>
      </c>
      <c r="O16" s="165"/>
      <c r="P16" s="166"/>
      <c r="Q16" s="166"/>
      <c r="R16" s="166"/>
      <c r="S16" s="166"/>
      <c r="T16" s="160"/>
      <c r="U16" s="163">
        <v>0</v>
      </c>
      <c r="V16" s="167"/>
      <c r="W16" s="160"/>
      <c r="X16" s="163">
        <v>0</v>
      </c>
      <c r="Y16" s="168"/>
      <c r="Z16" s="170"/>
    </row>
    <row r="17" spans="1:26" ht="15" thickBot="1" x14ac:dyDescent="0.35">
      <c r="A17" s="171"/>
      <c r="B17" s="172"/>
      <c r="C17" s="172"/>
      <c r="D17" s="172"/>
      <c r="E17" s="173"/>
      <c r="F17" s="174"/>
      <c r="G17" s="175"/>
      <c r="H17" s="176"/>
      <c r="I17" s="160"/>
      <c r="J17" s="161"/>
      <c r="K17" s="162"/>
      <c r="L17" s="163">
        <v>0</v>
      </c>
      <c r="M17" s="163">
        <v>0</v>
      </c>
      <c r="N17" s="164">
        <f>SUMPRODUCT(L17,M17)</f>
        <v>0</v>
      </c>
      <c r="O17" s="177"/>
      <c r="P17" s="178"/>
      <c r="Q17" s="178"/>
      <c r="R17" s="178"/>
      <c r="S17" s="178"/>
      <c r="T17" s="179"/>
      <c r="U17" s="180">
        <v>0</v>
      </c>
      <c r="V17" s="181"/>
      <c r="W17" s="179"/>
      <c r="X17" s="180">
        <v>0</v>
      </c>
      <c r="Y17" s="182"/>
      <c r="Z17" s="183"/>
    </row>
    <row r="18" spans="1:26" x14ac:dyDescent="0.3">
      <c r="A18" s="138">
        <v>44046</v>
      </c>
      <c r="B18" s="139"/>
      <c r="C18" s="139"/>
      <c r="D18" s="139">
        <f>SUM(C18-B18)</f>
        <v>0</v>
      </c>
      <c r="E18" s="140">
        <f>SUM(D18)</f>
        <v>0</v>
      </c>
      <c r="F18" s="141">
        <v>1529</v>
      </c>
      <c r="G18" s="142">
        <f>PRODUCT(E18,36000)</f>
        <v>0</v>
      </c>
      <c r="H18" s="143"/>
      <c r="I18" s="144"/>
      <c r="J18" s="145"/>
      <c r="K18" s="146"/>
      <c r="L18" s="147">
        <v>0</v>
      </c>
      <c r="M18" s="147">
        <v>0</v>
      </c>
      <c r="N18" s="148">
        <f>SUMPRODUCT(L18,M18)</f>
        <v>0</v>
      </c>
      <c r="O18" s="149">
        <f>SUM(N18:N24)</f>
        <v>0</v>
      </c>
      <c r="P18" s="150"/>
      <c r="Q18" s="150"/>
      <c r="R18" s="150"/>
      <c r="S18" s="150"/>
      <c r="T18" s="146"/>
      <c r="U18" s="147">
        <v>0</v>
      </c>
      <c r="V18" s="151">
        <f>U18:U24</f>
        <v>0</v>
      </c>
      <c r="W18" s="146"/>
      <c r="X18" s="147">
        <v>0</v>
      </c>
      <c r="Y18" s="152">
        <f>X18:X24</f>
        <v>0</v>
      </c>
      <c r="Z18" s="153">
        <f>G18+O18+V18-Y18</f>
        <v>0</v>
      </c>
    </row>
    <row r="19" spans="1:26" x14ac:dyDescent="0.3">
      <c r="A19" s="154"/>
      <c r="B19" s="155"/>
      <c r="C19" s="155"/>
      <c r="D19" s="155"/>
      <c r="E19" s="156"/>
      <c r="F19" s="157"/>
      <c r="G19" s="158"/>
      <c r="H19" s="159"/>
      <c r="I19" s="160"/>
      <c r="J19" s="161"/>
      <c r="K19" s="162"/>
      <c r="L19" s="163">
        <v>0</v>
      </c>
      <c r="M19" s="163">
        <v>0</v>
      </c>
      <c r="N19" s="164">
        <f>SUMPRODUCT(L19,M19)</f>
        <v>0</v>
      </c>
      <c r="O19" s="165"/>
      <c r="P19" s="166"/>
      <c r="Q19" s="166"/>
      <c r="R19" s="166"/>
      <c r="S19" s="166"/>
      <c r="T19" s="162"/>
      <c r="U19" s="163">
        <v>0</v>
      </c>
      <c r="V19" s="167"/>
      <c r="W19" s="162"/>
      <c r="X19" s="163">
        <v>0</v>
      </c>
      <c r="Y19" s="168"/>
      <c r="Z19" s="169"/>
    </row>
    <row r="20" spans="1:26" x14ac:dyDescent="0.3">
      <c r="A20" s="154"/>
      <c r="B20" s="155"/>
      <c r="C20" s="155"/>
      <c r="D20" s="155"/>
      <c r="E20" s="156"/>
      <c r="F20" s="157"/>
      <c r="G20" s="158"/>
      <c r="H20" s="159"/>
      <c r="I20" s="160"/>
      <c r="J20" s="161"/>
      <c r="K20" s="162"/>
      <c r="L20" s="163">
        <v>0</v>
      </c>
      <c r="M20" s="163">
        <v>0</v>
      </c>
      <c r="N20" s="164">
        <f>SUMPRODUCT(L20,M20)</f>
        <v>0</v>
      </c>
      <c r="O20" s="165"/>
      <c r="P20" s="166"/>
      <c r="Q20" s="166"/>
      <c r="R20" s="166"/>
      <c r="S20" s="166"/>
      <c r="T20" s="162"/>
      <c r="U20" s="163">
        <v>0</v>
      </c>
      <c r="V20" s="167"/>
      <c r="W20" s="162"/>
      <c r="X20" s="163">
        <v>0</v>
      </c>
      <c r="Y20" s="168"/>
      <c r="Z20" s="169"/>
    </row>
    <row r="21" spans="1:26" x14ac:dyDescent="0.3">
      <c r="A21" s="154"/>
      <c r="B21" s="155"/>
      <c r="C21" s="155"/>
      <c r="D21" s="155"/>
      <c r="E21" s="156"/>
      <c r="F21" s="157"/>
      <c r="G21" s="158"/>
      <c r="H21" s="159"/>
      <c r="I21" s="160"/>
      <c r="J21" s="161"/>
      <c r="K21" s="162"/>
      <c r="L21" s="163">
        <v>0</v>
      </c>
      <c r="M21" s="163">
        <v>0</v>
      </c>
      <c r="N21" s="164">
        <f>SUMPRODUCT(L21,M21)</f>
        <v>0</v>
      </c>
      <c r="O21" s="165"/>
      <c r="P21" s="166"/>
      <c r="Q21" s="166"/>
      <c r="R21" s="166"/>
      <c r="S21" s="166"/>
      <c r="T21" s="162"/>
      <c r="U21" s="163">
        <v>0</v>
      </c>
      <c r="V21" s="167"/>
      <c r="W21" s="162"/>
      <c r="X21" s="163">
        <v>0</v>
      </c>
      <c r="Y21" s="168"/>
      <c r="Z21" s="170"/>
    </row>
    <row r="22" spans="1:26" x14ac:dyDescent="0.3">
      <c r="A22" s="154"/>
      <c r="B22" s="155"/>
      <c r="C22" s="155"/>
      <c r="D22" s="155"/>
      <c r="E22" s="156"/>
      <c r="F22" s="157"/>
      <c r="G22" s="158"/>
      <c r="H22" s="159"/>
      <c r="I22" s="160"/>
      <c r="J22" s="161"/>
      <c r="K22" s="162"/>
      <c r="L22" s="163">
        <v>0</v>
      </c>
      <c r="M22" s="163">
        <v>0</v>
      </c>
      <c r="N22" s="164">
        <f>SUMPRODUCT(L22,M22)</f>
        <v>0</v>
      </c>
      <c r="O22" s="165"/>
      <c r="P22" s="166"/>
      <c r="Q22" s="166"/>
      <c r="R22" s="166"/>
      <c r="S22" s="166"/>
      <c r="T22" s="162"/>
      <c r="U22" s="163">
        <v>0</v>
      </c>
      <c r="V22" s="167"/>
      <c r="W22" s="162"/>
      <c r="X22" s="163">
        <v>0</v>
      </c>
      <c r="Y22" s="168"/>
      <c r="Z22" s="170"/>
    </row>
    <row r="23" spans="1:26" x14ac:dyDescent="0.3">
      <c r="A23" s="154"/>
      <c r="B23" s="155"/>
      <c r="C23" s="155"/>
      <c r="D23" s="155"/>
      <c r="E23" s="156"/>
      <c r="F23" s="157"/>
      <c r="G23" s="158"/>
      <c r="H23" s="159"/>
      <c r="I23" s="160"/>
      <c r="J23" s="161"/>
      <c r="K23" s="162"/>
      <c r="L23" s="163">
        <v>0</v>
      </c>
      <c r="M23" s="163">
        <v>0</v>
      </c>
      <c r="N23" s="164">
        <f>SUMPRODUCT(L23,M23)</f>
        <v>0</v>
      </c>
      <c r="O23" s="165"/>
      <c r="P23" s="166"/>
      <c r="Q23" s="166"/>
      <c r="R23" s="166"/>
      <c r="S23" s="166"/>
      <c r="T23" s="160"/>
      <c r="U23" s="163">
        <v>0</v>
      </c>
      <c r="V23" s="167"/>
      <c r="W23" s="160"/>
      <c r="X23" s="163">
        <v>0</v>
      </c>
      <c r="Y23" s="168"/>
      <c r="Z23" s="170"/>
    </row>
    <row r="24" spans="1:26" ht="15" thickBot="1" x14ac:dyDescent="0.35">
      <c r="A24" s="171"/>
      <c r="B24" s="172"/>
      <c r="C24" s="172"/>
      <c r="D24" s="172"/>
      <c r="E24" s="173"/>
      <c r="F24" s="174"/>
      <c r="G24" s="175"/>
      <c r="H24" s="176"/>
      <c r="I24" s="160"/>
      <c r="J24" s="161"/>
      <c r="K24" s="162"/>
      <c r="L24" s="163">
        <v>0</v>
      </c>
      <c r="M24" s="163">
        <v>0</v>
      </c>
      <c r="N24" s="164">
        <f>SUMPRODUCT(L24,M24)</f>
        <v>0</v>
      </c>
      <c r="O24" s="177"/>
      <c r="P24" s="178"/>
      <c r="Q24" s="178"/>
      <c r="R24" s="178"/>
      <c r="S24" s="178"/>
      <c r="T24" s="179"/>
      <c r="U24" s="180">
        <v>0</v>
      </c>
      <c r="V24" s="181"/>
      <c r="W24" s="179"/>
      <c r="X24" s="180">
        <v>0</v>
      </c>
      <c r="Y24" s="182"/>
      <c r="Z24" s="183"/>
    </row>
    <row r="25" spans="1:26" x14ac:dyDescent="0.3">
      <c r="A25" s="138">
        <v>44047</v>
      </c>
      <c r="B25" s="139"/>
      <c r="C25" s="139"/>
      <c r="D25" s="139">
        <f>SUM(C25-B25)</f>
        <v>0</v>
      </c>
      <c r="E25" s="140">
        <f>SUM(D25)</f>
        <v>0</v>
      </c>
      <c r="F25" s="141">
        <v>1530</v>
      </c>
      <c r="G25" s="142">
        <f>PRODUCT(E25,36000)</f>
        <v>0</v>
      </c>
      <c r="H25" s="143"/>
      <c r="I25" s="144"/>
      <c r="J25" s="145"/>
      <c r="K25" s="146"/>
      <c r="L25" s="147">
        <v>0</v>
      </c>
      <c r="M25" s="147">
        <v>0</v>
      </c>
      <c r="N25" s="148">
        <f>SUMPRODUCT(L25,M25)</f>
        <v>0</v>
      </c>
      <c r="O25" s="149">
        <f>SUM(N25:N31)</f>
        <v>0</v>
      </c>
      <c r="P25" s="150"/>
      <c r="Q25" s="150"/>
      <c r="R25" s="150"/>
      <c r="S25" s="150"/>
      <c r="T25" s="146"/>
      <c r="U25" s="147">
        <v>0</v>
      </c>
      <c r="V25" s="151">
        <f>U25:U31</f>
        <v>0</v>
      </c>
      <c r="W25" s="146"/>
      <c r="X25" s="147">
        <v>0</v>
      </c>
      <c r="Y25" s="152">
        <f>X25:X31</f>
        <v>0</v>
      </c>
      <c r="Z25" s="153">
        <f>G25+O25+V25-Y25</f>
        <v>0</v>
      </c>
    </row>
    <row r="26" spans="1:26" x14ac:dyDescent="0.3">
      <c r="A26" s="154"/>
      <c r="B26" s="155"/>
      <c r="C26" s="155"/>
      <c r="D26" s="155"/>
      <c r="E26" s="156"/>
      <c r="F26" s="157"/>
      <c r="G26" s="158"/>
      <c r="H26" s="159"/>
      <c r="I26" s="160"/>
      <c r="J26" s="161"/>
      <c r="K26" s="162"/>
      <c r="L26" s="163">
        <v>0</v>
      </c>
      <c r="M26" s="163">
        <v>0</v>
      </c>
      <c r="N26" s="164">
        <f>SUMPRODUCT(L26,M26)</f>
        <v>0</v>
      </c>
      <c r="O26" s="165"/>
      <c r="P26" s="166"/>
      <c r="Q26" s="166"/>
      <c r="R26" s="166"/>
      <c r="S26" s="166"/>
      <c r="T26" s="162"/>
      <c r="U26" s="163">
        <v>0</v>
      </c>
      <c r="V26" s="167"/>
      <c r="W26" s="162"/>
      <c r="X26" s="163">
        <v>0</v>
      </c>
      <c r="Y26" s="168"/>
      <c r="Z26" s="169"/>
    </row>
    <row r="27" spans="1:26" x14ac:dyDescent="0.3">
      <c r="A27" s="154"/>
      <c r="B27" s="155"/>
      <c r="C27" s="155"/>
      <c r="D27" s="155"/>
      <c r="E27" s="156"/>
      <c r="F27" s="157"/>
      <c r="G27" s="158"/>
      <c r="H27" s="159"/>
      <c r="I27" s="160"/>
      <c r="J27" s="161"/>
      <c r="K27" s="162"/>
      <c r="L27" s="163">
        <v>0</v>
      </c>
      <c r="M27" s="163">
        <v>0</v>
      </c>
      <c r="N27" s="164">
        <f>SUMPRODUCT(L27,M27)</f>
        <v>0</v>
      </c>
      <c r="O27" s="165"/>
      <c r="P27" s="166"/>
      <c r="Q27" s="166"/>
      <c r="R27" s="166"/>
      <c r="S27" s="166"/>
      <c r="T27" s="162"/>
      <c r="U27" s="163">
        <v>0</v>
      </c>
      <c r="V27" s="167"/>
      <c r="W27" s="162"/>
      <c r="X27" s="163">
        <v>0</v>
      </c>
      <c r="Y27" s="168"/>
      <c r="Z27" s="169"/>
    </row>
    <row r="28" spans="1:26" x14ac:dyDescent="0.3">
      <c r="A28" s="154"/>
      <c r="B28" s="155"/>
      <c r="C28" s="155"/>
      <c r="D28" s="155"/>
      <c r="E28" s="156"/>
      <c r="F28" s="157"/>
      <c r="G28" s="158"/>
      <c r="H28" s="159"/>
      <c r="I28" s="160"/>
      <c r="J28" s="161"/>
      <c r="K28" s="162"/>
      <c r="L28" s="163">
        <v>0</v>
      </c>
      <c r="M28" s="163">
        <v>0</v>
      </c>
      <c r="N28" s="164">
        <f>SUMPRODUCT(L28,M28)</f>
        <v>0</v>
      </c>
      <c r="O28" s="165"/>
      <c r="P28" s="166"/>
      <c r="Q28" s="166"/>
      <c r="R28" s="166"/>
      <c r="S28" s="166"/>
      <c r="T28" s="162"/>
      <c r="U28" s="163">
        <v>0</v>
      </c>
      <c r="V28" s="167"/>
      <c r="W28" s="162"/>
      <c r="X28" s="163">
        <v>0</v>
      </c>
      <c r="Y28" s="168"/>
      <c r="Z28" s="170"/>
    </row>
    <row r="29" spans="1:26" x14ac:dyDescent="0.3">
      <c r="A29" s="154"/>
      <c r="B29" s="155"/>
      <c r="C29" s="155"/>
      <c r="D29" s="155"/>
      <c r="E29" s="156"/>
      <c r="F29" s="157"/>
      <c r="G29" s="158"/>
      <c r="H29" s="159"/>
      <c r="I29" s="160"/>
      <c r="J29" s="161"/>
      <c r="K29" s="162"/>
      <c r="L29" s="163">
        <v>0</v>
      </c>
      <c r="M29" s="163">
        <v>0</v>
      </c>
      <c r="N29" s="164">
        <f>SUMPRODUCT(L29,M29)</f>
        <v>0</v>
      </c>
      <c r="O29" s="165"/>
      <c r="P29" s="166"/>
      <c r="Q29" s="166"/>
      <c r="R29" s="166"/>
      <c r="S29" s="166"/>
      <c r="T29" s="162"/>
      <c r="U29" s="163">
        <v>0</v>
      </c>
      <c r="V29" s="167"/>
      <c r="W29" s="162"/>
      <c r="X29" s="163">
        <v>0</v>
      </c>
      <c r="Y29" s="168"/>
      <c r="Z29" s="170"/>
    </row>
    <row r="30" spans="1:26" x14ac:dyDescent="0.3">
      <c r="A30" s="154"/>
      <c r="B30" s="155"/>
      <c r="C30" s="155"/>
      <c r="D30" s="155"/>
      <c r="E30" s="156"/>
      <c r="F30" s="157"/>
      <c r="G30" s="158"/>
      <c r="H30" s="159"/>
      <c r="I30" s="160"/>
      <c r="J30" s="161"/>
      <c r="K30" s="162"/>
      <c r="L30" s="163">
        <v>0</v>
      </c>
      <c r="M30" s="163">
        <v>0</v>
      </c>
      <c r="N30" s="164">
        <f>SUMPRODUCT(L30,M30)</f>
        <v>0</v>
      </c>
      <c r="O30" s="165"/>
      <c r="P30" s="166"/>
      <c r="Q30" s="166"/>
      <c r="R30" s="166"/>
      <c r="S30" s="166"/>
      <c r="T30" s="160"/>
      <c r="U30" s="163">
        <v>0</v>
      </c>
      <c r="V30" s="167"/>
      <c r="W30" s="160"/>
      <c r="X30" s="163">
        <v>0</v>
      </c>
      <c r="Y30" s="168"/>
      <c r="Z30" s="170"/>
    </row>
    <row r="31" spans="1:26" ht="15" thickBot="1" x14ac:dyDescent="0.35">
      <c r="A31" s="171"/>
      <c r="B31" s="172"/>
      <c r="C31" s="172"/>
      <c r="D31" s="172"/>
      <c r="E31" s="173"/>
      <c r="F31" s="174"/>
      <c r="G31" s="175"/>
      <c r="H31" s="176"/>
      <c r="I31" s="160"/>
      <c r="J31" s="161"/>
      <c r="K31" s="162"/>
      <c r="L31" s="163">
        <v>0</v>
      </c>
      <c r="M31" s="163">
        <v>0</v>
      </c>
      <c r="N31" s="164">
        <f>SUMPRODUCT(L31,M31)</f>
        <v>0</v>
      </c>
      <c r="O31" s="177"/>
      <c r="P31" s="178"/>
      <c r="Q31" s="178"/>
      <c r="R31" s="178"/>
      <c r="S31" s="178"/>
      <c r="T31" s="179"/>
      <c r="U31" s="180">
        <v>0</v>
      </c>
      <c r="V31" s="181"/>
      <c r="W31" s="179"/>
      <c r="X31" s="180">
        <v>0</v>
      </c>
      <c r="Y31" s="182"/>
      <c r="Z31" s="183"/>
    </row>
    <row r="32" spans="1:26" x14ac:dyDescent="0.3">
      <c r="A32" s="138">
        <v>44048</v>
      </c>
      <c r="B32" s="139"/>
      <c r="C32" s="139"/>
      <c r="D32" s="139">
        <f>SUM(C32-B32)</f>
        <v>0</v>
      </c>
      <c r="E32" s="140">
        <f>SUM(D32)</f>
        <v>0</v>
      </c>
      <c r="F32" s="141">
        <v>1531</v>
      </c>
      <c r="G32" s="142">
        <f>PRODUCT(E32,36000)</f>
        <v>0</v>
      </c>
      <c r="H32" s="143"/>
      <c r="I32" s="144"/>
      <c r="J32" s="145"/>
      <c r="K32" s="146"/>
      <c r="L32" s="147">
        <v>0</v>
      </c>
      <c r="M32" s="147">
        <v>0</v>
      </c>
      <c r="N32" s="148">
        <f>SUMPRODUCT(L32,M32)</f>
        <v>0</v>
      </c>
      <c r="O32" s="149">
        <f>SUM(N32:N38)</f>
        <v>0</v>
      </c>
      <c r="P32" s="150"/>
      <c r="Q32" s="150"/>
      <c r="R32" s="150"/>
      <c r="S32" s="150"/>
      <c r="T32" s="146"/>
      <c r="U32" s="147">
        <v>0</v>
      </c>
      <c r="V32" s="151">
        <f>U32:U38</f>
        <v>0</v>
      </c>
      <c r="W32" s="146"/>
      <c r="X32" s="147">
        <v>0</v>
      </c>
      <c r="Y32" s="152">
        <f>X32:X38</f>
        <v>0</v>
      </c>
      <c r="Z32" s="153">
        <f>G32+O32+V32-Y32</f>
        <v>0</v>
      </c>
    </row>
    <row r="33" spans="1:26" x14ac:dyDescent="0.3">
      <c r="A33" s="154"/>
      <c r="B33" s="155"/>
      <c r="C33" s="155"/>
      <c r="D33" s="155"/>
      <c r="E33" s="156"/>
      <c r="F33" s="157"/>
      <c r="G33" s="158"/>
      <c r="H33" s="159"/>
      <c r="I33" s="160"/>
      <c r="J33" s="161"/>
      <c r="K33" s="162"/>
      <c r="L33" s="163">
        <v>0</v>
      </c>
      <c r="M33" s="163">
        <v>0</v>
      </c>
      <c r="N33" s="164">
        <f>SUMPRODUCT(L33,M33)</f>
        <v>0</v>
      </c>
      <c r="O33" s="165"/>
      <c r="P33" s="166"/>
      <c r="Q33" s="166"/>
      <c r="R33" s="166"/>
      <c r="S33" s="166"/>
      <c r="T33" s="162"/>
      <c r="U33" s="163">
        <v>0</v>
      </c>
      <c r="V33" s="167"/>
      <c r="W33" s="162"/>
      <c r="X33" s="163">
        <v>0</v>
      </c>
      <c r="Y33" s="168"/>
      <c r="Z33" s="169"/>
    </row>
    <row r="34" spans="1:26" x14ac:dyDescent="0.3">
      <c r="A34" s="154"/>
      <c r="B34" s="155"/>
      <c r="C34" s="155"/>
      <c r="D34" s="155"/>
      <c r="E34" s="156"/>
      <c r="F34" s="157"/>
      <c r="G34" s="158"/>
      <c r="H34" s="159"/>
      <c r="I34" s="160"/>
      <c r="J34" s="161"/>
      <c r="K34" s="162"/>
      <c r="L34" s="163">
        <v>0</v>
      </c>
      <c r="M34" s="163">
        <v>0</v>
      </c>
      <c r="N34" s="164">
        <f>SUMPRODUCT(L34,M34)</f>
        <v>0</v>
      </c>
      <c r="O34" s="165"/>
      <c r="P34" s="166"/>
      <c r="Q34" s="166"/>
      <c r="R34" s="166"/>
      <c r="S34" s="166"/>
      <c r="T34" s="162"/>
      <c r="U34" s="163">
        <v>0</v>
      </c>
      <c r="V34" s="167"/>
      <c r="W34" s="162"/>
      <c r="X34" s="163">
        <v>0</v>
      </c>
      <c r="Y34" s="168"/>
      <c r="Z34" s="169"/>
    </row>
    <row r="35" spans="1:26" x14ac:dyDescent="0.3">
      <c r="A35" s="154"/>
      <c r="B35" s="155"/>
      <c r="C35" s="155"/>
      <c r="D35" s="155"/>
      <c r="E35" s="156"/>
      <c r="F35" s="157"/>
      <c r="G35" s="158"/>
      <c r="H35" s="159"/>
      <c r="I35" s="160"/>
      <c r="J35" s="161"/>
      <c r="K35" s="162"/>
      <c r="L35" s="163">
        <v>0</v>
      </c>
      <c r="M35" s="163">
        <v>0</v>
      </c>
      <c r="N35" s="164">
        <f>SUMPRODUCT(L35,M35)</f>
        <v>0</v>
      </c>
      <c r="O35" s="165"/>
      <c r="P35" s="166"/>
      <c r="Q35" s="166"/>
      <c r="R35" s="166"/>
      <c r="S35" s="166"/>
      <c r="T35" s="162"/>
      <c r="U35" s="163">
        <v>0</v>
      </c>
      <c r="V35" s="167"/>
      <c r="W35" s="162"/>
      <c r="X35" s="163">
        <v>0</v>
      </c>
      <c r="Y35" s="168"/>
      <c r="Z35" s="170"/>
    </row>
    <row r="36" spans="1:26" x14ac:dyDescent="0.3">
      <c r="A36" s="154"/>
      <c r="B36" s="155"/>
      <c r="C36" s="155"/>
      <c r="D36" s="155"/>
      <c r="E36" s="156"/>
      <c r="F36" s="157"/>
      <c r="G36" s="158"/>
      <c r="H36" s="159"/>
      <c r="I36" s="160"/>
      <c r="J36" s="161"/>
      <c r="K36" s="162"/>
      <c r="L36" s="163">
        <v>0</v>
      </c>
      <c r="M36" s="163">
        <v>0</v>
      </c>
      <c r="N36" s="164">
        <f>SUMPRODUCT(L36,M36)</f>
        <v>0</v>
      </c>
      <c r="O36" s="165"/>
      <c r="P36" s="166"/>
      <c r="Q36" s="166"/>
      <c r="R36" s="166"/>
      <c r="S36" s="166"/>
      <c r="T36" s="162"/>
      <c r="U36" s="163">
        <v>0</v>
      </c>
      <c r="V36" s="167"/>
      <c r="W36" s="162"/>
      <c r="X36" s="163">
        <v>0</v>
      </c>
      <c r="Y36" s="168"/>
      <c r="Z36" s="170"/>
    </row>
    <row r="37" spans="1:26" x14ac:dyDescent="0.3">
      <c r="A37" s="154"/>
      <c r="B37" s="155"/>
      <c r="C37" s="155"/>
      <c r="D37" s="155"/>
      <c r="E37" s="156"/>
      <c r="F37" s="157"/>
      <c r="G37" s="158"/>
      <c r="H37" s="159"/>
      <c r="I37" s="160"/>
      <c r="J37" s="161"/>
      <c r="K37" s="162"/>
      <c r="L37" s="163">
        <v>0</v>
      </c>
      <c r="M37" s="163">
        <v>0</v>
      </c>
      <c r="N37" s="164">
        <f>SUMPRODUCT(L37,M37)</f>
        <v>0</v>
      </c>
      <c r="O37" s="165"/>
      <c r="P37" s="166"/>
      <c r="Q37" s="166"/>
      <c r="R37" s="166"/>
      <c r="S37" s="166"/>
      <c r="T37" s="160"/>
      <c r="U37" s="163">
        <v>0</v>
      </c>
      <c r="V37" s="167"/>
      <c r="W37" s="160"/>
      <c r="X37" s="163">
        <v>0</v>
      </c>
      <c r="Y37" s="168"/>
      <c r="Z37" s="170"/>
    </row>
    <row r="38" spans="1:26" ht="15" thickBot="1" x14ac:dyDescent="0.35">
      <c r="A38" s="171"/>
      <c r="B38" s="172"/>
      <c r="C38" s="172"/>
      <c r="D38" s="172"/>
      <c r="E38" s="173"/>
      <c r="F38" s="174"/>
      <c r="G38" s="175"/>
      <c r="H38" s="176"/>
      <c r="I38" s="160"/>
      <c r="J38" s="161"/>
      <c r="K38" s="162"/>
      <c r="L38" s="163">
        <v>0</v>
      </c>
      <c r="M38" s="163">
        <v>0</v>
      </c>
      <c r="N38" s="164">
        <f>SUMPRODUCT(L38,M38)</f>
        <v>0</v>
      </c>
      <c r="O38" s="177"/>
      <c r="P38" s="178"/>
      <c r="Q38" s="178"/>
      <c r="R38" s="178"/>
      <c r="S38" s="178"/>
      <c r="T38" s="179"/>
      <c r="U38" s="180">
        <v>0</v>
      </c>
      <c r="V38" s="181"/>
      <c r="W38" s="179"/>
      <c r="X38" s="180">
        <v>0</v>
      </c>
      <c r="Y38" s="182"/>
      <c r="Z38" s="183"/>
    </row>
    <row r="39" spans="1:26" x14ac:dyDescent="0.3">
      <c r="A39" s="138">
        <v>44049</v>
      </c>
      <c r="B39" s="139"/>
      <c r="C39" s="139"/>
      <c r="D39" s="139">
        <f>SUM(C39-B39)</f>
        <v>0</v>
      </c>
      <c r="E39" s="140">
        <f>SUM(D39)</f>
        <v>0</v>
      </c>
      <c r="F39" s="141">
        <v>1532</v>
      </c>
      <c r="G39" s="142">
        <f>PRODUCT(E39,36000)</f>
        <v>0</v>
      </c>
      <c r="H39" s="143"/>
      <c r="I39" s="144"/>
      <c r="J39" s="145"/>
      <c r="K39" s="146"/>
      <c r="L39" s="147">
        <v>0</v>
      </c>
      <c r="M39" s="147">
        <v>0</v>
      </c>
      <c r="N39" s="148">
        <f>SUMPRODUCT(L39,M39)</f>
        <v>0</v>
      </c>
      <c r="O39" s="149">
        <f>SUM(N39:N45)</f>
        <v>0</v>
      </c>
      <c r="P39" s="150"/>
      <c r="Q39" s="150"/>
      <c r="R39" s="150"/>
      <c r="S39" s="150"/>
      <c r="T39" s="146"/>
      <c r="U39" s="147">
        <v>0</v>
      </c>
      <c r="V39" s="151">
        <f>U39:U45</f>
        <v>0</v>
      </c>
      <c r="W39" s="146"/>
      <c r="X39" s="147">
        <v>0</v>
      </c>
      <c r="Y39" s="152">
        <f>X39:X45</f>
        <v>0</v>
      </c>
      <c r="Z39" s="153">
        <f>G39+O39+V39-Y39</f>
        <v>0</v>
      </c>
    </row>
    <row r="40" spans="1:26" x14ac:dyDescent="0.3">
      <c r="A40" s="154"/>
      <c r="B40" s="155"/>
      <c r="C40" s="155"/>
      <c r="D40" s="155"/>
      <c r="E40" s="156"/>
      <c r="F40" s="157"/>
      <c r="G40" s="158"/>
      <c r="H40" s="159"/>
      <c r="I40" s="160"/>
      <c r="J40" s="161"/>
      <c r="K40" s="162"/>
      <c r="L40" s="163">
        <v>0</v>
      </c>
      <c r="M40" s="163">
        <v>0</v>
      </c>
      <c r="N40" s="164">
        <f>SUMPRODUCT(L40,M40)</f>
        <v>0</v>
      </c>
      <c r="O40" s="165"/>
      <c r="P40" s="166"/>
      <c r="Q40" s="166"/>
      <c r="R40" s="166"/>
      <c r="S40" s="166"/>
      <c r="T40" s="162"/>
      <c r="U40" s="163">
        <v>0</v>
      </c>
      <c r="V40" s="167"/>
      <c r="W40" s="162"/>
      <c r="X40" s="163">
        <v>0</v>
      </c>
      <c r="Y40" s="168"/>
      <c r="Z40" s="169"/>
    </row>
    <row r="41" spans="1:26" x14ac:dyDescent="0.3">
      <c r="A41" s="154"/>
      <c r="B41" s="155"/>
      <c r="C41" s="155"/>
      <c r="D41" s="155"/>
      <c r="E41" s="156"/>
      <c r="F41" s="157"/>
      <c r="G41" s="158"/>
      <c r="H41" s="159"/>
      <c r="I41" s="160"/>
      <c r="J41" s="161"/>
      <c r="K41" s="162"/>
      <c r="L41" s="163">
        <v>0</v>
      </c>
      <c r="M41" s="163">
        <v>0</v>
      </c>
      <c r="N41" s="164">
        <f>SUMPRODUCT(L41,M41)</f>
        <v>0</v>
      </c>
      <c r="O41" s="165"/>
      <c r="P41" s="166"/>
      <c r="Q41" s="166"/>
      <c r="R41" s="166"/>
      <c r="S41" s="166"/>
      <c r="T41" s="162"/>
      <c r="U41" s="163">
        <v>0</v>
      </c>
      <c r="V41" s="167"/>
      <c r="W41" s="162"/>
      <c r="X41" s="163">
        <v>0</v>
      </c>
      <c r="Y41" s="168"/>
      <c r="Z41" s="169"/>
    </row>
    <row r="42" spans="1:26" x14ac:dyDescent="0.3">
      <c r="A42" s="154"/>
      <c r="B42" s="155"/>
      <c r="C42" s="155"/>
      <c r="D42" s="155"/>
      <c r="E42" s="156"/>
      <c r="F42" s="157"/>
      <c r="G42" s="158"/>
      <c r="H42" s="159"/>
      <c r="I42" s="160"/>
      <c r="J42" s="161"/>
      <c r="K42" s="162"/>
      <c r="L42" s="163">
        <v>0</v>
      </c>
      <c r="M42" s="163">
        <v>0</v>
      </c>
      <c r="N42" s="164">
        <f>SUMPRODUCT(L42,M42)</f>
        <v>0</v>
      </c>
      <c r="O42" s="165"/>
      <c r="P42" s="166"/>
      <c r="Q42" s="166"/>
      <c r="R42" s="166"/>
      <c r="S42" s="166"/>
      <c r="T42" s="162"/>
      <c r="U42" s="163">
        <v>0</v>
      </c>
      <c r="V42" s="167"/>
      <c r="W42" s="162"/>
      <c r="X42" s="163">
        <v>0</v>
      </c>
      <c r="Y42" s="168"/>
      <c r="Z42" s="170"/>
    </row>
    <row r="43" spans="1:26" x14ac:dyDescent="0.3">
      <c r="A43" s="154"/>
      <c r="B43" s="155"/>
      <c r="C43" s="155"/>
      <c r="D43" s="155"/>
      <c r="E43" s="156"/>
      <c r="F43" s="157"/>
      <c r="G43" s="158"/>
      <c r="H43" s="159"/>
      <c r="I43" s="160"/>
      <c r="J43" s="161"/>
      <c r="K43" s="162"/>
      <c r="L43" s="163">
        <v>0</v>
      </c>
      <c r="M43" s="163">
        <v>0</v>
      </c>
      <c r="N43" s="164">
        <f>SUMPRODUCT(L43,M43)</f>
        <v>0</v>
      </c>
      <c r="O43" s="165"/>
      <c r="P43" s="166"/>
      <c r="Q43" s="166"/>
      <c r="R43" s="166"/>
      <c r="S43" s="166"/>
      <c r="T43" s="162"/>
      <c r="U43" s="163">
        <v>0</v>
      </c>
      <c r="V43" s="167"/>
      <c r="W43" s="162"/>
      <c r="X43" s="163">
        <v>0</v>
      </c>
      <c r="Y43" s="168"/>
      <c r="Z43" s="170"/>
    </row>
    <row r="44" spans="1:26" x14ac:dyDescent="0.3">
      <c r="A44" s="154"/>
      <c r="B44" s="155"/>
      <c r="C44" s="155"/>
      <c r="D44" s="155"/>
      <c r="E44" s="156"/>
      <c r="F44" s="157"/>
      <c r="G44" s="158"/>
      <c r="H44" s="159"/>
      <c r="I44" s="160"/>
      <c r="J44" s="161"/>
      <c r="K44" s="162"/>
      <c r="L44" s="163">
        <v>0</v>
      </c>
      <c r="M44" s="163">
        <v>0</v>
      </c>
      <c r="N44" s="164">
        <f>SUMPRODUCT(L44,M44)</f>
        <v>0</v>
      </c>
      <c r="O44" s="165"/>
      <c r="P44" s="166"/>
      <c r="Q44" s="166"/>
      <c r="R44" s="166"/>
      <c r="S44" s="166"/>
      <c r="T44" s="160"/>
      <c r="U44" s="163">
        <v>0</v>
      </c>
      <c r="V44" s="167"/>
      <c r="W44" s="160"/>
      <c r="X44" s="163">
        <v>0</v>
      </c>
      <c r="Y44" s="168"/>
      <c r="Z44" s="170"/>
    </row>
    <row r="45" spans="1:26" ht="15" thickBot="1" x14ac:dyDescent="0.35">
      <c r="A45" s="171"/>
      <c r="B45" s="172"/>
      <c r="C45" s="172"/>
      <c r="D45" s="172"/>
      <c r="E45" s="173"/>
      <c r="F45" s="174"/>
      <c r="G45" s="175"/>
      <c r="H45" s="176"/>
      <c r="I45" s="179"/>
      <c r="J45" s="184"/>
      <c r="K45" s="185"/>
      <c r="L45" s="180">
        <v>0</v>
      </c>
      <c r="M45" s="180">
        <v>0</v>
      </c>
      <c r="N45" s="186">
        <f>SUMPRODUCT(L45,M45)</f>
        <v>0</v>
      </c>
      <c r="O45" s="177"/>
      <c r="P45" s="178"/>
      <c r="Q45" s="178"/>
      <c r="R45" s="178"/>
      <c r="S45" s="178"/>
      <c r="T45" s="179"/>
      <c r="U45" s="180">
        <v>0</v>
      </c>
      <c r="V45" s="181"/>
      <c r="W45" s="179"/>
      <c r="X45" s="180">
        <v>0</v>
      </c>
      <c r="Y45" s="182"/>
      <c r="Z45" s="183"/>
    </row>
    <row r="46" spans="1:26" x14ac:dyDescent="0.3">
      <c r="A46" s="138">
        <v>44050</v>
      </c>
      <c r="B46" s="139"/>
      <c r="C46" s="139"/>
      <c r="D46" s="139">
        <f t="shared" ref="D46" si="0">SUM(C46-B46)</f>
        <v>0</v>
      </c>
      <c r="E46" s="140">
        <f t="shared" ref="E46" si="1">SUM(D46)</f>
        <v>0</v>
      </c>
      <c r="F46" s="141">
        <v>1533</v>
      </c>
      <c r="G46" s="142">
        <f t="shared" ref="G46" si="2">PRODUCT(E46,36000)</f>
        <v>0</v>
      </c>
      <c r="H46" s="143"/>
      <c r="I46" s="144"/>
      <c r="J46" s="145"/>
      <c r="K46" s="146"/>
      <c r="L46" s="147">
        <v>0</v>
      </c>
      <c r="M46" s="147">
        <v>0</v>
      </c>
      <c r="N46" s="148">
        <f t="shared" ref="N46:N111" si="3">SUMPRODUCT(L46,M46)</f>
        <v>0</v>
      </c>
      <c r="O46" s="149">
        <f t="shared" ref="O46" si="4">SUM(N46:N52)</f>
        <v>0</v>
      </c>
      <c r="P46" s="150"/>
      <c r="Q46" s="150"/>
      <c r="R46" s="150"/>
      <c r="S46" s="150"/>
      <c r="T46" s="146"/>
      <c r="U46" s="147">
        <v>0</v>
      </c>
      <c r="V46" s="151">
        <f t="shared" ref="V46" si="5">U46:U52</f>
        <v>0</v>
      </c>
      <c r="W46" s="146"/>
      <c r="X46" s="147">
        <v>0</v>
      </c>
      <c r="Y46" s="152">
        <f t="shared" ref="Y46" si="6">X46:X52</f>
        <v>0</v>
      </c>
      <c r="Z46" s="153">
        <f t="shared" ref="Z46" si="7">G46+O46+V46-Y46</f>
        <v>0</v>
      </c>
    </row>
    <row r="47" spans="1:26" x14ac:dyDescent="0.3">
      <c r="A47" s="154"/>
      <c r="B47" s="155"/>
      <c r="C47" s="155"/>
      <c r="D47" s="155"/>
      <c r="E47" s="156"/>
      <c r="F47" s="157"/>
      <c r="G47" s="158"/>
      <c r="H47" s="159"/>
      <c r="I47" s="160"/>
      <c r="J47" s="161"/>
      <c r="K47" s="162"/>
      <c r="L47" s="163">
        <v>0</v>
      </c>
      <c r="M47" s="163">
        <v>0</v>
      </c>
      <c r="N47" s="164">
        <f t="shared" si="3"/>
        <v>0</v>
      </c>
      <c r="O47" s="165"/>
      <c r="P47" s="166"/>
      <c r="Q47" s="166"/>
      <c r="R47" s="166"/>
      <c r="S47" s="166"/>
      <c r="T47" s="162"/>
      <c r="U47" s="163">
        <v>0</v>
      </c>
      <c r="V47" s="167"/>
      <c r="W47" s="162"/>
      <c r="X47" s="163">
        <v>0</v>
      </c>
      <c r="Y47" s="168"/>
      <c r="Z47" s="169"/>
    </row>
    <row r="48" spans="1:26" x14ac:dyDescent="0.3">
      <c r="A48" s="154"/>
      <c r="B48" s="155"/>
      <c r="C48" s="155"/>
      <c r="D48" s="155"/>
      <c r="E48" s="156"/>
      <c r="F48" s="157"/>
      <c r="G48" s="158"/>
      <c r="H48" s="159"/>
      <c r="I48" s="160"/>
      <c r="J48" s="161"/>
      <c r="K48" s="162"/>
      <c r="L48" s="163">
        <v>0</v>
      </c>
      <c r="M48" s="163">
        <v>0</v>
      </c>
      <c r="N48" s="164">
        <f t="shared" si="3"/>
        <v>0</v>
      </c>
      <c r="O48" s="165"/>
      <c r="P48" s="166"/>
      <c r="Q48" s="166"/>
      <c r="R48" s="166"/>
      <c r="S48" s="166"/>
      <c r="T48" s="162"/>
      <c r="U48" s="163">
        <v>0</v>
      </c>
      <c r="V48" s="167"/>
      <c r="W48" s="162"/>
      <c r="X48" s="163">
        <v>0</v>
      </c>
      <c r="Y48" s="168"/>
      <c r="Z48" s="169"/>
    </row>
    <row r="49" spans="1:26" x14ac:dyDescent="0.3">
      <c r="A49" s="154"/>
      <c r="B49" s="155"/>
      <c r="C49" s="155"/>
      <c r="D49" s="155"/>
      <c r="E49" s="156"/>
      <c r="F49" s="157"/>
      <c r="G49" s="158"/>
      <c r="H49" s="159"/>
      <c r="I49" s="160"/>
      <c r="J49" s="161"/>
      <c r="K49" s="162"/>
      <c r="L49" s="163">
        <v>0</v>
      </c>
      <c r="M49" s="163">
        <v>0</v>
      </c>
      <c r="N49" s="164">
        <f t="shared" si="3"/>
        <v>0</v>
      </c>
      <c r="O49" s="165"/>
      <c r="P49" s="166"/>
      <c r="Q49" s="166"/>
      <c r="R49" s="166"/>
      <c r="S49" s="166"/>
      <c r="T49" s="162"/>
      <c r="U49" s="163">
        <v>0</v>
      </c>
      <c r="V49" s="167"/>
      <c r="W49" s="162"/>
      <c r="X49" s="163">
        <v>0</v>
      </c>
      <c r="Y49" s="168"/>
      <c r="Z49" s="170"/>
    </row>
    <row r="50" spans="1:26" x14ac:dyDescent="0.3">
      <c r="A50" s="154"/>
      <c r="B50" s="155"/>
      <c r="C50" s="155"/>
      <c r="D50" s="155"/>
      <c r="E50" s="156"/>
      <c r="F50" s="157"/>
      <c r="G50" s="158"/>
      <c r="H50" s="159"/>
      <c r="I50" s="160"/>
      <c r="J50" s="161"/>
      <c r="K50" s="162"/>
      <c r="L50" s="163">
        <v>0</v>
      </c>
      <c r="M50" s="163">
        <v>0</v>
      </c>
      <c r="N50" s="164">
        <f t="shared" si="3"/>
        <v>0</v>
      </c>
      <c r="O50" s="165"/>
      <c r="P50" s="166"/>
      <c r="Q50" s="166"/>
      <c r="R50" s="166"/>
      <c r="S50" s="166"/>
      <c r="T50" s="162"/>
      <c r="U50" s="163">
        <v>0</v>
      </c>
      <c r="V50" s="167"/>
      <c r="W50" s="162"/>
      <c r="X50" s="163">
        <v>0</v>
      </c>
      <c r="Y50" s="168"/>
      <c r="Z50" s="170"/>
    </row>
    <row r="51" spans="1:26" x14ac:dyDescent="0.3">
      <c r="A51" s="154"/>
      <c r="B51" s="155"/>
      <c r="C51" s="155"/>
      <c r="D51" s="155"/>
      <c r="E51" s="156"/>
      <c r="F51" s="157"/>
      <c r="G51" s="158"/>
      <c r="H51" s="159"/>
      <c r="I51" s="160"/>
      <c r="J51" s="161"/>
      <c r="K51" s="162"/>
      <c r="L51" s="163">
        <v>0</v>
      </c>
      <c r="M51" s="163">
        <v>0</v>
      </c>
      <c r="N51" s="164">
        <f t="shared" si="3"/>
        <v>0</v>
      </c>
      <c r="O51" s="165"/>
      <c r="P51" s="166"/>
      <c r="Q51" s="166"/>
      <c r="R51" s="166"/>
      <c r="S51" s="166"/>
      <c r="T51" s="160"/>
      <c r="U51" s="163">
        <v>0</v>
      </c>
      <c r="V51" s="167"/>
      <c r="W51" s="160"/>
      <c r="X51" s="163">
        <v>0</v>
      </c>
      <c r="Y51" s="168"/>
      <c r="Z51" s="170"/>
    </row>
    <row r="52" spans="1:26" ht="15" thickBot="1" x14ac:dyDescent="0.35">
      <c r="A52" s="171"/>
      <c r="B52" s="172"/>
      <c r="C52" s="172"/>
      <c r="D52" s="172"/>
      <c r="E52" s="173"/>
      <c r="F52" s="174"/>
      <c r="G52" s="175"/>
      <c r="H52" s="176"/>
      <c r="I52" s="179"/>
      <c r="J52" s="184"/>
      <c r="K52" s="185"/>
      <c r="L52" s="180">
        <v>0</v>
      </c>
      <c r="M52" s="180">
        <v>0</v>
      </c>
      <c r="N52" s="186">
        <f t="shared" si="3"/>
        <v>0</v>
      </c>
      <c r="O52" s="177"/>
      <c r="P52" s="178"/>
      <c r="Q52" s="178"/>
      <c r="R52" s="178"/>
      <c r="S52" s="178"/>
      <c r="T52" s="179"/>
      <c r="U52" s="180">
        <v>0</v>
      </c>
      <c r="V52" s="181"/>
      <c r="W52" s="179"/>
      <c r="X52" s="180">
        <v>0</v>
      </c>
      <c r="Y52" s="182"/>
      <c r="Z52" s="183"/>
    </row>
    <row r="53" spans="1:26" ht="24" customHeight="1" thickBot="1" x14ac:dyDescent="0.35">
      <c r="A53" s="187" t="s">
        <v>23</v>
      </c>
      <c r="B53" s="188"/>
      <c r="C53" s="188"/>
      <c r="D53" s="188"/>
      <c r="E53" s="189"/>
      <c r="F53" s="190"/>
      <c r="G53" s="191">
        <f>SUM(G32:G52)</f>
        <v>0</v>
      </c>
      <c r="H53" s="192"/>
      <c r="I53" s="193"/>
      <c r="J53" s="194"/>
      <c r="K53" s="193"/>
      <c r="L53" s="195"/>
      <c r="M53" s="195"/>
      <c r="N53" s="196"/>
      <c r="O53" s="197">
        <f>SUM(O32:O52)</f>
        <v>0</v>
      </c>
      <c r="P53" s="193"/>
      <c r="Q53" s="193"/>
      <c r="R53" s="193"/>
      <c r="S53" s="193"/>
      <c r="T53" s="193"/>
      <c r="U53" s="195"/>
      <c r="V53" s="198"/>
      <c r="W53" s="193"/>
      <c r="X53" s="195"/>
      <c r="Y53" s="199"/>
      <c r="Z53" s="197">
        <f>SUM(Z32:Z52)</f>
        <v>0</v>
      </c>
    </row>
    <row r="54" spans="1:26" x14ac:dyDescent="0.3">
      <c r="A54" s="138">
        <v>44051</v>
      </c>
      <c r="B54" s="139"/>
      <c r="C54" s="139"/>
      <c r="D54" s="139">
        <f t="shared" ref="D54" si="8">SUM(C54-B54)</f>
        <v>0</v>
      </c>
      <c r="E54" s="140">
        <f t="shared" ref="E54" si="9">SUM(D54)</f>
        <v>0</v>
      </c>
      <c r="F54" s="141">
        <v>1534</v>
      </c>
      <c r="G54" s="142">
        <f t="shared" ref="G54" si="10">PRODUCT(E54,36000)</f>
        <v>0</v>
      </c>
      <c r="H54" s="143"/>
      <c r="I54" s="144"/>
      <c r="J54" s="145"/>
      <c r="K54" s="146"/>
      <c r="L54" s="147">
        <v>0</v>
      </c>
      <c r="M54" s="147">
        <v>0</v>
      </c>
      <c r="N54" s="148">
        <f t="shared" si="3"/>
        <v>0</v>
      </c>
      <c r="O54" s="149">
        <f t="shared" ref="O54" si="11">SUM(N54:N60)</f>
        <v>0</v>
      </c>
      <c r="P54" s="150"/>
      <c r="Q54" s="150"/>
      <c r="R54" s="150"/>
      <c r="S54" s="150"/>
      <c r="T54" s="146"/>
      <c r="U54" s="147">
        <v>0</v>
      </c>
      <c r="V54" s="151">
        <f t="shared" ref="V54" si="12">U54:U60</f>
        <v>0</v>
      </c>
      <c r="W54" s="146"/>
      <c r="X54" s="147">
        <v>0</v>
      </c>
      <c r="Y54" s="152">
        <f t="shared" ref="Y54" si="13">X54:X60</f>
        <v>0</v>
      </c>
      <c r="Z54" s="153">
        <f t="shared" ref="Z54" si="14">G54+O54+V54-Y54</f>
        <v>0</v>
      </c>
    </row>
    <row r="55" spans="1:26" x14ac:dyDescent="0.3">
      <c r="A55" s="154"/>
      <c r="B55" s="155"/>
      <c r="C55" s="155"/>
      <c r="D55" s="155"/>
      <c r="E55" s="156"/>
      <c r="F55" s="157"/>
      <c r="G55" s="158"/>
      <c r="H55" s="159"/>
      <c r="I55" s="160"/>
      <c r="J55" s="161"/>
      <c r="K55" s="162"/>
      <c r="L55" s="163">
        <v>0</v>
      </c>
      <c r="M55" s="163">
        <v>0</v>
      </c>
      <c r="N55" s="164">
        <f t="shared" si="3"/>
        <v>0</v>
      </c>
      <c r="O55" s="165"/>
      <c r="P55" s="166"/>
      <c r="Q55" s="166"/>
      <c r="R55" s="166"/>
      <c r="S55" s="166"/>
      <c r="T55" s="162"/>
      <c r="U55" s="163">
        <v>0</v>
      </c>
      <c r="V55" s="167"/>
      <c r="W55" s="162"/>
      <c r="X55" s="163">
        <v>0</v>
      </c>
      <c r="Y55" s="168"/>
      <c r="Z55" s="169"/>
    </row>
    <row r="56" spans="1:26" x14ac:dyDescent="0.3">
      <c r="A56" s="154"/>
      <c r="B56" s="155"/>
      <c r="C56" s="155"/>
      <c r="D56" s="155"/>
      <c r="E56" s="156"/>
      <c r="F56" s="157"/>
      <c r="G56" s="158"/>
      <c r="H56" s="159"/>
      <c r="I56" s="160"/>
      <c r="J56" s="161"/>
      <c r="K56" s="162"/>
      <c r="L56" s="163">
        <v>0</v>
      </c>
      <c r="M56" s="163">
        <v>0</v>
      </c>
      <c r="N56" s="164">
        <f t="shared" si="3"/>
        <v>0</v>
      </c>
      <c r="O56" s="165"/>
      <c r="P56" s="166"/>
      <c r="Q56" s="166"/>
      <c r="R56" s="166"/>
      <c r="S56" s="166"/>
      <c r="T56" s="162"/>
      <c r="U56" s="163">
        <v>0</v>
      </c>
      <c r="V56" s="167"/>
      <c r="W56" s="162"/>
      <c r="X56" s="163">
        <v>0</v>
      </c>
      <c r="Y56" s="168"/>
      <c r="Z56" s="169"/>
    </row>
    <row r="57" spans="1:26" x14ac:dyDescent="0.3">
      <c r="A57" s="154"/>
      <c r="B57" s="155"/>
      <c r="C57" s="155"/>
      <c r="D57" s="155"/>
      <c r="E57" s="156"/>
      <c r="F57" s="157"/>
      <c r="G57" s="158"/>
      <c r="H57" s="159"/>
      <c r="I57" s="160"/>
      <c r="J57" s="161"/>
      <c r="K57" s="162"/>
      <c r="L57" s="163">
        <v>0</v>
      </c>
      <c r="M57" s="163">
        <v>0</v>
      </c>
      <c r="N57" s="164">
        <f t="shared" si="3"/>
        <v>0</v>
      </c>
      <c r="O57" s="165"/>
      <c r="P57" s="166"/>
      <c r="Q57" s="166"/>
      <c r="R57" s="166"/>
      <c r="S57" s="166"/>
      <c r="T57" s="162"/>
      <c r="U57" s="163">
        <v>0</v>
      </c>
      <c r="V57" s="167"/>
      <c r="W57" s="162"/>
      <c r="X57" s="163">
        <v>0</v>
      </c>
      <c r="Y57" s="168"/>
      <c r="Z57" s="170"/>
    </row>
    <row r="58" spans="1:26" x14ac:dyDescent="0.3">
      <c r="A58" s="154"/>
      <c r="B58" s="155"/>
      <c r="C58" s="155"/>
      <c r="D58" s="155"/>
      <c r="E58" s="156"/>
      <c r="F58" s="157"/>
      <c r="G58" s="158"/>
      <c r="H58" s="159"/>
      <c r="I58" s="160"/>
      <c r="J58" s="161"/>
      <c r="K58" s="162"/>
      <c r="L58" s="163">
        <v>0</v>
      </c>
      <c r="M58" s="163">
        <v>0</v>
      </c>
      <c r="N58" s="164">
        <f t="shared" si="3"/>
        <v>0</v>
      </c>
      <c r="O58" s="165"/>
      <c r="P58" s="166"/>
      <c r="Q58" s="166"/>
      <c r="R58" s="166"/>
      <c r="S58" s="166"/>
      <c r="T58" s="162"/>
      <c r="U58" s="163">
        <v>0</v>
      </c>
      <c r="V58" s="167"/>
      <c r="W58" s="162"/>
      <c r="X58" s="163">
        <v>0</v>
      </c>
      <c r="Y58" s="168"/>
      <c r="Z58" s="170"/>
    </row>
    <row r="59" spans="1:26" x14ac:dyDescent="0.3">
      <c r="A59" s="154"/>
      <c r="B59" s="155"/>
      <c r="C59" s="155"/>
      <c r="D59" s="155"/>
      <c r="E59" s="156"/>
      <c r="F59" s="157"/>
      <c r="G59" s="158"/>
      <c r="H59" s="159"/>
      <c r="I59" s="160"/>
      <c r="J59" s="161"/>
      <c r="K59" s="162"/>
      <c r="L59" s="163">
        <v>0</v>
      </c>
      <c r="M59" s="163">
        <v>0</v>
      </c>
      <c r="N59" s="164">
        <f t="shared" si="3"/>
        <v>0</v>
      </c>
      <c r="O59" s="165"/>
      <c r="P59" s="166"/>
      <c r="Q59" s="166"/>
      <c r="R59" s="166"/>
      <c r="S59" s="166"/>
      <c r="T59" s="160"/>
      <c r="U59" s="163">
        <v>0</v>
      </c>
      <c r="V59" s="167"/>
      <c r="W59" s="160"/>
      <c r="X59" s="163">
        <v>0</v>
      </c>
      <c r="Y59" s="168"/>
      <c r="Z59" s="170"/>
    </row>
    <row r="60" spans="1:26" ht="15" thickBot="1" x14ac:dyDescent="0.35">
      <c r="A60" s="171"/>
      <c r="B60" s="172"/>
      <c r="C60" s="172"/>
      <c r="D60" s="172"/>
      <c r="E60" s="173"/>
      <c r="F60" s="174"/>
      <c r="G60" s="175"/>
      <c r="H60" s="176"/>
      <c r="I60" s="179"/>
      <c r="J60" s="184"/>
      <c r="K60" s="185"/>
      <c r="L60" s="180">
        <v>0</v>
      </c>
      <c r="M60" s="180">
        <v>0</v>
      </c>
      <c r="N60" s="186">
        <f t="shared" si="3"/>
        <v>0</v>
      </c>
      <c r="O60" s="177"/>
      <c r="P60" s="178"/>
      <c r="Q60" s="178"/>
      <c r="R60" s="178"/>
      <c r="S60" s="178"/>
      <c r="T60" s="179"/>
      <c r="U60" s="180">
        <v>0</v>
      </c>
      <c r="V60" s="181"/>
      <c r="W60" s="179"/>
      <c r="X60" s="180">
        <v>0</v>
      </c>
      <c r="Y60" s="182"/>
      <c r="Z60" s="183"/>
    </row>
    <row r="61" spans="1:26" x14ac:dyDescent="0.3">
      <c r="A61" s="138">
        <v>44052</v>
      </c>
      <c r="B61" s="139"/>
      <c r="C61" s="139"/>
      <c r="D61" s="139">
        <f t="shared" ref="D61" si="15">SUM(C61-B61)</f>
        <v>0</v>
      </c>
      <c r="E61" s="140">
        <f t="shared" ref="E61" si="16">SUM(D61)</f>
        <v>0</v>
      </c>
      <c r="F61" s="141">
        <v>1535</v>
      </c>
      <c r="G61" s="142">
        <f t="shared" ref="G61" si="17">PRODUCT(E61,36000)</f>
        <v>0</v>
      </c>
      <c r="H61" s="143"/>
      <c r="I61" s="144"/>
      <c r="J61" s="145"/>
      <c r="K61" s="146"/>
      <c r="L61" s="147">
        <v>0</v>
      </c>
      <c r="M61" s="147">
        <v>0</v>
      </c>
      <c r="N61" s="148">
        <f t="shared" si="3"/>
        <v>0</v>
      </c>
      <c r="O61" s="149">
        <f t="shared" ref="O61" si="18">SUM(N61:N67)</f>
        <v>0</v>
      </c>
      <c r="P61" s="150"/>
      <c r="Q61" s="150"/>
      <c r="R61" s="150"/>
      <c r="S61" s="150"/>
      <c r="T61" s="146"/>
      <c r="U61" s="147">
        <v>0</v>
      </c>
      <c r="V61" s="151">
        <f t="shared" ref="V61" si="19">U61:U67</f>
        <v>0</v>
      </c>
      <c r="W61" s="146"/>
      <c r="X61" s="147">
        <v>0</v>
      </c>
      <c r="Y61" s="152">
        <f t="shared" ref="Y61" si="20">X61:X67</f>
        <v>0</v>
      </c>
      <c r="Z61" s="153">
        <f t="shared" ref="Z61" si="21">G61+O61+V61-Y61</f>
        <v>0</v>
      </c>
    </row>
    <row r="62" spans="1:26" x14ac:dyDescent="0.3">
      <c r="A62" s="154"/>
      <c r="B62" s="155"/>
      <c r="C62" s="155"/>
      <c r="D62" s="155"/>
      <c r="E62" s="156"/>
      <c r="F62" s="157"/>
      <c r="G62" s="158"/>
      <c r="H62" s="159"/>
      <c r="I62" s="160"/>
      <c r="J62" s="161"/>
      <c r="K62" s="162"/>
      <c r="L62" s="163">
        <v>0</v>
      </c>
      <c r="M62" s="163">
        <v>0</v>
      </c>
      <c r="N62" s="164">
        <f t="shared" si="3"/>
        <v>0</v>
      </c>
      <c r="O62" s="165"/>
      <c r="P62" s="166"/>
      <c r="Q62" s="166"/>
      <c r="R62" s="166"/>
      <c r="S62" s="166"/>
      <c r="T62" s="162"/>
      <c r="U62" s="163">
        <v>0</v>
      </c>
      <c r="V62" s="167"/>
      <c r="W62" s="162"/>
      <c r="X62" s="163">
        <v>0</v>
      </c>
      <c r="Y62" s="168"/>
      <c r="Z62" s="169"/>
    </row>
    <row r="63" spans="1:26" x14ac:dyDescent="0.3">
      <c r="A63" s="154"/>
      <c r="B63" s="155"/>
      <c r="C63" s="155"/>
      <c r="D63" s="155"/>
      <c r="E63" s="156"/>
      <c r="F63" s="157"/>
      <c r="G63" s="158"/>
      <c r="H63" s="159"/>
      <c r="I63" s="160"/>
      <c r="J63" s="161"/>
      <c r="K63" s="162"/>
      <c r="L63" s="163">
        <v>0</v>
      </c>
      <c r="M63" s="163">
        <v>0</v>
      </c>
      <c r="N63" s="164">
        <f t="shared" si="3"/>
        <v>0</v>
      </c>
      <c r="O63" s="165"/>
      <c r="P63" s="166"/>
      <c r="Q63" s="166"/>
      <c r="R63" s="166"/>
      <c r="S63" s="166"/>
      <c r="T63" s="162"/>
      <c r="U63" s="163">
        <v>0</v>
      </c>
      <c r="V63" s="167"/>
      <c r="W63" s="162"/>
      <c r="X63" s="163">
        <v>0</v>
      </c>
      <c r="Y63" s="168"/>
      <c r="Z63" s="169"/>
    </row>
    <row r="64" spans="1:26" x14ac:dyDescent="0.3">
      <c r="A64" s="154"/>
      <c r="B64" s="155"/>
      <c r="C64" s="155"/>
      <c r="D64" s="155"/>
      <c r="E64" s="156"/>
      <c r="F64" s="157"/>
      <c r="G64" s="158"/>
      <c r="H64" s="159"/>
      <c r="I64" s="160"/>
      <c r="J64" s="161"/>
      <c r="K64" s="162"/>
      <c r="L64" s="163">
        <v>0</v>
      </c>
      <c r="M64" s="163">
        <v>0</v>
      </c>
      <c r="N64" s="164">
        <f t="shared" si="3"/>
        <v>0</v>
      </c>
      <c r="O64" s="165"/>
      <c r="P64" s="166"/>
      <c r="Q64" s="166"/>
      <c r="R64" s="166"/>
      <c r="S64" s="166"/>
      <c r="T64" s="162"/>
      <c r="U64" s="163">
        <v>0</v>
      </c>
      <c r="V64" s="167"/>
      <c r="W64" s="162"/>
      <c r="X64" s="163">
        <v>0</v>
      </c>
      <c r="Y64" s="168"/>
      <c r="Z64" s="170"/>
    </row>
    <row r="65" spans="1:26" x14ac:dyDescent="0.3">
      <c r="A65" s="154"/>
      <c r="B65" s="155"/>
      <c r="C65" s="155"/>
      <c r="D65" s="155"/>
      <c r="E65" s="156"/>
      <c r="F65" s="157"/>
      <c r="G65" s="158"/>
      <c r="H65" s="159"/>
      <c r="I65" s="160"/>
      <c r="J65" s="161"/>
      <c r="K65" s="162"/>
      <c r="L65" s="163">
        <v>0</v>
      </c>
      <c r="M65" s="163">
        <v>0</v>
      </c>
      <c r="N65" s="164">
        <f t="shared" si="3"/>
        <v>0</v>
      </c>
      <c r="O65" s="165"/>
      <c r="P65" s="166"/>
      <c r="Q65" s="166"/>
      <c r="R65" s="166"/>
      <c r="S65" s="166"/>
      <c r="T65" s="162"/>
      <c r="U65" s="163">
        <v>0</v>
      </c>
      <c r="V65" s="167"/>
      <c r="W65" s="162"/>
      <c r="X65" s="163">
        <v>0</v>
      </c>
      <c r="Y65" s="168"/>
      <c r="Z65" s="170"/>
    </row>
    <row r="66" spans="1:26" x14ac:dyDescent="0.3">
      <c r="A66" s="154"/>
      <c r="B66" s="155"/>
      <c r="C66" s="155"/>
      <c r="D66" s="155"/>
      <c r="E66" s="156"/>
      <c r="F66" s="157"/>
      <c r="G66" s="158"/>
      <c r="H66" s="159"/>
      <c r="I66" s="160"/>
      <c r="J66" s="161"/>
      <c r="K66" s="162"/>
      <c r="L66" s="163">
        <v>0</v>
      </c>
      <c r="M66" s="163">
        <v>0</v>
      </c>
      <c r="N66" s="164">
        <f t="shared" si="3"/>
        <v>0</v>
      </c>
      <c r="O66" s="165"/>
      <c r="P66" s="166"/>
      <c r="Q66" s="166"/>
      <c r="R66" s="166"/>
      <c r="S66" s="166"/>
      <c r="T66" s="160"/>
      <c r="U66" s="163">
        <v>0</v>
      </c>
      <c r="V66" s="167"/>
      <c r="W66" s="160"/>
      <c r="X66" s="163">
        <v>0</v>
      </c>
      <c r="Y66" s="168"/>
      <c r="Z66" s="170"/>
    </row>
    <row r="67" spans="1:26" ht="15" thickBot="1" x14ac:dyDescent="0.35">
      <c r="A67" s="171"/>
      <c r="B67" s="172"/>
      <c r="C67" s="172"/>
      <c r="D67" s="172"/>
      <c r="E67" s="173"/>
      <c r="F67" s="174"/>
      <c r="G67" s="175"/>
      <c r="H67" s="176"/>
      <c r="I67" s="179"/>
      <c r="J67" s="184"/>
      <c r="K67" s="185"/>
      <c r="L67" s="180">
        <v>0</v>
      </c>
      <c r="M67" s="180">
        <v>0</v>
      </c>
      <c r="N67" s="186">
        <f t="shared" si="3"/>
        <v>0</v>
      </c>
      <c r="O67" s="177"/>
      <c r="P67" s="178"/>
      <c r="Q67" s="178"/>
      <c r="R67" s="178"/>
      <c r="S67" s="178"/>
      <c r="T67" s="179"/>
      <c r="U67" s="180">
        <v>0</v>
      </c>
      <c r="V67" s="181"/>
      <c r="W67" s="179"/>
      <c r="X67" s="180">
        <v>0</v>
      </c>
      <c r="Y67" s="182"/>
      <c r="Z67" s="183"/>
    </row>
    <row r="68" spans="1:26" x14ac:dyDescent="0.3">
      <c r="A68" s="138">
        <v>44053</v>
      </c>
      <c r="B68" s="139"/>
      <c r="C68" s="139"/>
      <c r="D68" s="139">
        <f t="shared" ref="D68" si="22">SUM(C68-B68)</f>
        <v>0</v>
      </c>
      <c r="E68" s="140">
        <f t="shared" ref="E68" si="23">SUM(D68)</f>
        <v>0</v>
      </c>
      <c r="F68" s="141">
        <v>1536</v>
      </c>
      <c r="G68" s="142">
        <f t="shared" ref="G68" si="24">PRODUCT(E68,36000)</f>
        <v>0</v>
      </c>
      <c r="H68" s="143"/>
      <c r="I68" s="144"/>
      <c r="J68" s="145"/>
      <c r="K68" s="146"/>
      <c r="L68" s="147">
        <v>0</v>
      </c>
      <c r="M68" s="147">
        <v>0</v>
      </c>
      <c r="N68" s="148">
        <f t="shared" si="3"/>
        <v>0</v>
      </c>
      <c r="O68" s="149">
        <f t="shared" ref="O68" si="25">SUM(N68:N74)</f>
        <v>0</v>
      </c>
      <c r="P68" s="150"/>
      <c r="Q68" s="150"/>
      <c r="R68" s="150"/>
      <c r="S68" s="150"/>
      <c r="T68" s="146"/>
      <c r="U68" s="147">
        <v>0</v>
      </c>
      <c r="V68" s="151">
        <f t="shared" ref="V68" si="26">U68:U74</f>
        <v>0</v>
      </c>
      <c r="W68" s="146"/>
      <c r="X68" s="147">
        <v>0</v>
      </c>
      <c r="Y68" s="152">
        <f t="shared" ref="Y68" si="27">X68:X74</f>
        <v>0</v>
      </c>
      <c r="Z68" s="153">
        <f t="shared" ref="Z68" si="28">G68+O68+V68-Y68</f>
        <v>0</v>
      </c>
    </row>
    <row r="69" spans="1:26" x14ac:dyDescent="0.3">
      <c r="A69" s="154"/>
      <c r="B69" s="155"/>
      <c r="C69" s="155"/>
      <c r="D69" s="155"/>
      <c r="E69" s="156"/>
      <c r="F69" s="157"/>
      <c r="G69" s="158"/>
      <c r="H69" s="159"/>
      <c r="I69" s="160"/>
      <c r="J69" s="161"/>
      <c r="K69" s="162"/>
      <c r="L69" s="163">
        <v>0</v>
      </c>
      <c r="M69" s="163">
        <v>0</v>
      </c>
      <c r="N69" s="164">
        <f t="shared" si="3"/>
        <v>0</v>
      </c>
      <c r="O69" s="165"/>
      <c r="P69" s="166"/>
      <c r="Q69" s="166"/>
      <c r="R69" s="166"/>
      <c r="S69" s="166"/>
      <c r="T69" s="162"/>
      <c r="U69" s="163">
        <v>0</v>
      </c>
      <c r="V69" s="167"/>
      <c r="W69" s="162"/>
      <c r="X69" s="163">
        <v>0</v>
      </c>
      <c r="Y69" s="168"/>
      <c r="Z69" s="169"/>
    </row>
    <row r="70" spans="1:26" x14ac:dyDescent="0.3">
      <c r="A70" s="154"/>
      <c r="B70" s="155"/>
      <c r="C70" s="155"/>
      <c r="D70" s="155"/>
      <c r="E70" s="156"/>
      <c r="F70" s="157"/>
      <c r="G70" s="158"/>
      <c r="H70" s="159"/>
      <c r="I70" s="160"/>
      <c r="J70" s="161"/>
      <c r="K70" s="162"/>
      <c r="L70" s="163">
        <v>0</v>
      </c>
      <c r="M70" s="163">
        <v>0</v>
      </c>
      <c r="N70" s="164">
        <f t="shared" si="3"/>
        <v>0</v>
      </c>
      <c r="O70" s="165"/>
      <c r="P70" s="166"/>
      <c r="Q70" s="166"/>
      <c r="R70" s="166"/>
      <c r="S70" s="166"/>
      <c r="T70" s="162"/>
      <c r="U70" s="163">
        <v>0</v>
      </c>
      <c r="V70" s="167"/>
      <c r="W70" s="162"/>
      <c r="X70" s="163">
        <v>0</v>
      </c>
      <c r="Y70" s="168"/>
      <c r="Z70" s="169"/>
    </row>
    <row r="71" spans="1:26" x14ac:dyDescent="0.3">
      <c r="A71" s="154"/>
      <c r="B71" s="155"/>
      <c r="C71" s="155"/>
      <c r="D71" s="155"/>
      <c r="E71" s="156"/>
      <c r="F71" s="157"/>
      <c r="G71" s="158"/>
      <c r="H71" s="159"/>
      <c r="I71" s="160"/>
      <c r="J71" s="161"/>
      <c r="K71" s="162"/>
      <c r="L71" s="163">
        <v>0</v>
      </c>
      <c r="M71" s="163">
        <v>0</v>
      </c>
      <c r="N71" s="164">
        <f t="shared" si="3"/>
        <v>0</v>
      </c>
      <c r="O71" s="165"/>
      <c r="P71" s="166"/>
      <c r="Q71" s="166"/>
      <c r="R71" s="166"/>
      <c r="S71" s="166"/>
      <c r="T71" s="162"/>
      <c r="U71" s="163">
        <v>0</v>
      </c>
      <c r="V71" s="167"/>
      <c r="W71" s="162"/>
      <c r="X71" s="163">
        <v>0</v>
      </c>
      <c r="Y71" s="168"/>
      <c r="Z71" s="170"/>
    </row>
    <row r="72" spans="1:26" x14ac:dyDescent="0.3">
      <c r="A72" s="154"/>
      <c r="B72" s="155"/>
      <c r="C72" s="155"/>
      <c r="D72" s="155"/>
      <c r="E72" s="156"/>
      <c r="F72" s="157"/>
      <c r="G72" s="158"/>
      <c r="H72" s="159"/>
      <c r="I72" s="160"/>
      <c r="J72" s="161"/>
      <c r="K72" s="162"/>
      <c r="L72" s="163">
        <v>0</v>
      </c>
      <c r="M72" s="163">
        <v>0</v>
      </c>
      <c r="N72" s="164">
        <f t="shared" si="3"/>
        <v>0</v>
      </c>
      <c r="O72" s="165"/>
      <c r="P72" s="166"/>
      <c r="Q72" s="166"/>
      <c r="R72" s="166"/>
      <c r="S72" s="166"/>
      <c r="T72" s="162"/>
      <c r="U72" s="163">
        <v>0</v>
      </c>
      <c r="V72" s="167"/>
      <c r="W72" s="162"/>
      <c r="X72" s="163">
        <v>0</v>
      </c>
      <c r="Y72" s="168"/>
      <c r="Z72" s="170"/>
    </row>
    <row r="73" spans="1:26" x14ac:dyDescent="0.3">
      <c r="A73" s="154"/>
      <c r="B73" s="155"/>
      <c r="C73" s="155"/>
      <c r="D73" s="155"/>
      <c r="E73" s="156"/>
      <c r="F73" s="157"/>
      <c r="G73" s="158"/>
      <c r="H73" s="159"/>
      <c r="I73" s="160"/>
      <c r="J73" s="161"/>
      <c r="K73" s="162"/>
      <c r="L73" s="163">
        <v>0</v>
      </c>
      <c r="M73" s="163">
        <v>0</v>
      </c>
      <c r="N73" s="164">
        <f t="shared" si="3"/>
        <v>0</v>
      </c>
      <c r="O73" s="165"/>
      <c r="P73" s="166"/>
      <c r="Q73" s="166"/>
      <c r="R73" s="166"/>
      <c r="S73" s="166"/>
      <c r="T73" s="160"/>
      <c r="U73" s="163">
        <v>0</v>
      </c>
      <c r="V73" s="167"/>
      <c r="W73" s="160"/>
      <c r="X73" s="163">
        <v>0</v>
      </c>
      <c r="Y73" s="168"/>
      <c r="Z73" s="170"/>
    </row>
    <row r="74" spans="1:26" ht="15" thickBot="1" x14ac:dyDescent="0.35">
      <c r="A74" s="171"/>
      <c r="B74" s="172"/>
      <c r="C74" s="172"/>
      <c r="D74" s="172"/>
      <c r="E74" s="173"/>
      <c r="F74" s="174"/>
      <c r="G74" s="175"/>
      <c r="H74" s="176"/>
      <c r="I74" s="179"/>
      <c r="J74" s="184"/>
      <c r="K74" s="185"/>
      <c r="L74" s="180">
        <v>0</v>
      </c>
      <c r="M74" s="180">
        <v>0</v>
      </c>
      <c r="N74" s="186">
        <f t="shared" si="3"/>
        <v>0</v>
      </c>
      <c r="O74" s="177"/>
      <c r="P74" s="178"/>
      <c r="Q74" s="178"/>
      <c r="R74" s="178"/>
      <c r="S74" s="178"/>
      <c r="T74" s="179"/>
      <c r="U74" s="180">
        <v>0</v>
      </c>
      <c r="V74" s="181"/>
      <c r="W74" s="179"/>
      <c r="X74" s="180">
        <v>0</v>
      </c>
      <c r="Y74" s="182"/>
      <c r="Z74" s="183"/>
    </row>
    <row r="75" spans="1:26" x14ac:dyDescent="0.3">
      <c r="A75" s="138">
        <v>44054</v>
      </c>
      <c r="B75" s="139"/>
      <c r="C75" s="139"/>
      <c r="D75" s="139">
        <f t="shared" ref="D75" si="29">SUM(C75-B75)</f>
        <v>0</v>
      </c>
      <c r="E75" s="140">
        <f t="shared" ref="E75" si="30">SUM(D75)</f>
        <v>0</v>
      </c>
      <c r="F75" s="141">
        <v>1537</v>
      </c>
      <c r="G75" s="142">
        <f t="shared" ref="G75" si="31">PRODUCT(E75,36000)</f>
        <v>0</v>
      </c>
      <c r="H75" s="143"/>
      <c r="I75" s="144"/>
      <c r="J75" s="145"/>
      <c r="K75" s="146"/>
      <c r="L75" s="147">
        <v>0</v>
      </c>
      <c r="M75" s="147">
        <v>0</v>
      </c>
      <c r="N75" s="148">
        <f t="shared" si="3"/>
        <v>0</v>
      </c>
      <c r="O75" s="149">
        <f t="shared" ref="O75" si="32">SUM(N75:N81)</f>
        <v>0</v>
      </c>
      <c r="P75" s="150"/>
      <c r="Q75" s="150"/>
      <c r="R75" s="150"/>
      <c r="S75" s="150"/>
      <c r="T75" s="146"/>
      <c r="U75" s="147">
        <v>0</v>
      </c>
      <c r="V75" s="151">
        <f t="shared" ref="V75" si="33">U75:U81</f>
        <v>0</v>
      </c>
      <c r="W75" s="146"/>
      <c r="X75" s="147">
        <v>0</v>
      </c>
      <c r="Y75" s="152">
        <f t="shared" ref="Y75" si="34">X75:X81</f>
        <v>0</v>
      </c>
      <c r="Z75" s="153">
        <f t="shared" ref="Z75" si="35">G75+O75+V75-Y75</f>
        <v>0</v>
      </c>
    </row>
    <row r="76" spans="1:26" x14ac:dyDescent="0.3">
      <c r="A76" s="154"/>
      <c r="B76" s="155"/>
      <c r="C76" s="155"/>
      <c r="D76" s="155"/>
      <c r="E76" s="156"/>
      <c r="F76" s="157"/>
      <c r="G76" s="158"/>
      <c r="H76" s="159"/>
      <c r="I76" s="160"/>
      <c r="J76" s="161"/>
      <c r="K76" s="162"/>
      <c r="L76" s="163">
        <v>0</v>
      </c>
      <c r="M76" s="163">
        <v>0</v>
      </c>
      <c r="N76" s="164">
        <f t="shared" si="3"/>
        <v>0</v>
      </c>
      <c r="O76" s="165"/>
      <c r="P76" s="166"/>
      <c r="Q76" s="166"/>
      <c r="R76" s="166"/>
      <c r="S76" s="166"/>
      <c r="T76" s="162"/>
      <c r="U76" s="163">
        <v>0</v>
      </c>
      <c r="V76" s="167"/>
      <c r="W76" s="162"/>
      <c r="X76" s="163">
        <v>0</v>
      </c>
      <c r="Y76" s="168"/>
      <c r="Z76" s="169"/>
    </row>
    <row r="77" spans="1:26" x14ac:dyDescent="0.3">
      <c r="A77" s="154"/>
      <c r="B77" s="155"/>
      <c r="C77" s="155"/>
      <c r="D77" s="155"/>
      <c r="E77" s="156"/>
      <c r="F77" s="157"/>
      <c r="G77" s="158"/>
      <c r="H77" s="159"/>
      <c r="I77" s="160"/>
      <c r="J77" s="161"/>
      <c r="K77" s="162"/>
      <c r="L77" s="163">
        <v>0</v>
      </c>
      <c r="M77" s="163">
        <v>0</v>
      </c>
      <c r="N77" s="164">
        <f t="shared" si="3"/>
        <v>0</v>
      </c>
      <c r="O77" s="165"/>
      <c r="P77" s="166"/>
      <c r="Q77" s="166"/>
      <c r="R77" s="166"/>
      <c r="S77" s="166"/>
      <c r="T77" s="162"/>
      <c r="U77" s="163">
        <v>0</v>
      </c>
      <c r="V77" s="167"/>
      <c r="W77" s="162"/>
      <c r="X77" s="163">
        <v>0</v>
      </c>
      <c r="Y77" s="168"/>
      <c r="Z77" s="169"/>
    </row>
    <row r="78" spans="1:26" x14ac:dyDescent="0.3">
      <c r="A78" s="154"/>
      <c r="B78" s="155"/>
      <c r="C78" s="155"/>
      <c r="D78" s="155"/>
      <c r="E78" s="156"/>
      <c r="F78" s="157"/>
      <c r="G78" s="158"/>
      <c r="H78" s="159"/>
      <c r="I78" s="160"/>
      <c r="J78" s="161"/>
      <c r="K78" s="162"/>
      <c r="L78" s="163">
        <v>0</v>
      </c>
      <c r="M78" s="163">
        <v>0</v>
      </c>
      <c r="N78" s="164">
        <f t="shared" si="3"/>
        <v>0</v>
      </c>
      <c r="O78" s="165"/>
      <c r="P78" s="166"/>
      <c r="Q78" s="166"/>
      <c r="R78" s="166"/>
      <c r="S78" s="166"/>
      <c r="T78" s="162"/>
      <c r="U78" s="163">
        <v>0</v>
      </c>
      <c r="V78" s="167"/>
      <c r="W78" s="162"/>
      <c r="X78" s="163">
        <v>0</v>
      </c>
      <c r="Y78" s="168"/>
      <c r="Z78" s="170"/>
    </row>
    <row r="79" spans="1:26" x14ac:dyDescent="0.3">
      <c r="A79" s="154"/>
      <c r="B79" s="155"/>
      <c r="C79" s="155"/>
      <c r="D79" s="155"/>
      <c r="E79" s="156"/>
      <c r="F79" s="157"/>
      <c r="G79" s="158"/>
      <c r="H79" s="159"/>
      <c r="I79" s="160"/>
      <c r="J79" s="161"/>
      <c r="K79" s="162"/>
      <c r="L79" s="163">
        <v>0</v>
      </c>
      <c r="M79" s="163">
        <v>0</v>
      </c>
      <c r="N79" s="164">
        <f t="shared" si="3"/>
        <v>0</v>
      </c>
      <c r="O79" s="165"/>
      <c r="P79" s="166"/>
      <c r="Q79" s="166"/>
      <c r="R79" s="166"/>
      <c r="S79" s="166"/>
      <c r="T79" s="162"/>
      <c r="U79" s="163">
        <v>0</v>
      </c>
      <c r="V79" s="167"/>
      <c r="W79" s="162"/>
      <c r="X79" s="163">
        <v>0</v>
      </c>
      <c r="Y79" s="168"/>
      <c r="Z79" s="170"/>
    </row>
    <row r="80" spans="1:26" x14ac:dyDescent="0.3">
      <c r="A80" s="154"/>
      <c r="B80" s="155"/>
      <c r="C80" s="155"/>
      <c r="D80" s="155"/>
      <c r="E80" s="156"/>
      <c r="F80" s="157"/>
      <c r="G80" s="158"/>
      <c r="H80" s="159"/>
      <c r="I80" s="160"/>
      <c r="J80" s="161"/>
      <c r="K80" s="162"/>
      <c r="L80" s="163">
        <v>0</v>
      </c>
      <c r="M80" s="163">
        <v>0</v>
      </c>
      <c r="N80" s="164">
        <f t="shared" si="3"/>
        <v>0</v>
      </c>
      <c r="O80" s="165"/>
      <c r="P80" s="166"/>
      <c r="Q80" s="166"/>
      <c r="R80" s="166"/>
      <c r="S80" s="166"/>
      <c r="T80" s="160"/>
      <c r="U80" s="163">
        <v>0</v>
      </c>
      <c r="V80" s="167"/>
      <c r="W80" s="160"/>
      <c r="X80" s="163">
        <v>0</v>
      </c>
      <c r="Y80" s="168"/>
      <c r="Z80" s="170"/>
    </row>
    <row r="81" spans="1:26" ht="15" thickBot="1" x14ac:dyDescent="0.35">
      <c r="A81" s="171"/>
      <c r="B81" s="172"/>
      <c r="C81" s="172"/>
      <c r="D81" s="172"/>
      <c r="E81" s="173"/>
      <c r="F81" s="174"/>
      <c r="G81" s="175"/>
      <c r="H81" s="176"/>
      <c r="I81" s="179"/>
      <c r="J81" s="184"/>
      <c r="K81" s="185"/>
      <c r="L81" s="180">
        <v>0</v>
      </c>
      <c r="M81" s="180">
        <v>0</v>
      </c>
      <c r="N81" s="186">
        <f t="shared" si="3"/>
        <v>0</v>
      </c>
      <c r="O81" s="177"/>
      <c r="P81" s="178"/>
      <c r="Q81" s="178"/>
      <c r="R81" s="178"/>
      <c r="S81" s="178"/>
      <c r="T81" s="179"/>
      <c r="U81" s="180">
        <v>0</v>
      </c>
      <c r="V81" s="181"/>
      <c r="W81" s="179"/>
      <c r="X81" s="180">
        <v>0</v>
      </c>
      <c r="Y81" s="182"/>
      <c r="Z81" s="183"/>
    </row>
    <row r="82" spans="1:26" x14ac:dyDescent="0.3">
      <c r="A82" s="138">
        <v>44055</v>
      </c>
      <c r="B82" s="139"/>
      <c r="C82" s="139"/>
      <c r="D82" s="139">
        <f t="shared" ref="D82" si="36">SUM(C82-B82)</f>
        <v>0</v>
      </c>
      <c r="E82" s="140">
        <f t="shared" ref="E82" si="37">SUM(D82)</f>
        <v>0</v>
      </c>
      <c r="F82" s="141">
        <v>1538</v>
      </c>
      <c r="G82" s="142">
        <f t="shared" ref="G82" si="38">PRODUCT(E82,36000)</f>
        <v>0</v>
      </c>
      <c r="H82" s="143"/>
      <c r="I82" s="144"/>
      <c r="J82" s="145"/>
      <c r="K82" s="146"/>
      <c r="L82" s="147">
        <v>0</v>
      </c>
      <c r="M82" s="147">
        <v>0</v>
      </c>
      <c r="N82" s="148">
        <f t="shared" si="3"/>
        <v>0</v>
      </c>
      <c r="O82" s="149">
        <f t="shared" ref="O82" si="39">SUM(N82:N88)</f>
        <v>0</v>
      </c>
      <c r="P82" s="150"/>
      <c r="Q82" s="150"/>
      <c r="R82" s="150"/>
      <c r="S82" s="150"/>
      <c r="T82" s="146"/>
      <c r="U82" s="147">
        <v>0</v>
      </c>
      <c r="V82" s="151">
        <f t="shared" ref="V82" si="40">U82:U88</f>
        <v>0</v>
      </c>
      <c r="W82" s="146"/>
      <c r="X82" s="147">
        <v>0</v>
      </c>
      <c r="Y82" s="152">
        <f t="shared" ref="Y82" si="41">X82:X88</f>
        <v>0</v>
      </c>
      <c r="Z82" s="153">
        <f t="shared" ref="Z82" si="42">G82+O82+V82-Y82</f>
        <v>0</v>
      </c>
    </row>
    <row r="83" spans="1:26" x14ac:dyDescent="0.3">
      <c r="A83" s="154"/>
      <c r="B83" s="155"/>
      <c r="C83" s="155"/>
      <c r="D83" s="155"/>
      <c r="E83" s="156"/>
      <c r="F83" s="157"/>
      <c r="G83" s="158"/>
      <c r="H83" s="159"/>
      <c r="I83" s="160"/>
      <c r="J83" s="161"/>
      <c r="K83" s="162"/>
      <c r="L83" s="163">
        <v>0</v>
      </c>
      <c r="M83" s="163">
        <v>0</v>
      </c>
      <c r="N83" s="164">
        <f t="shared" si="3"/>
        <v>0</v>
      </c>
      <c r="O83" s="165"/>
      <c r="P83" s="166"/>
      <c r="Q83" s="166"/>
      <c r="R83" s="166"/>
      <c r="S83" s="166"/>
      <c r="T83" s="162"/>
      <c r="U83" s="163">
        <v>0</v>
      </c>
      <c r="V83" s="167"/>
      <c r="W83" s="162"/>
      <c r="X83" s="163">
        <v>0</v>
      </c>
      <c r="Y83" s="168"/>
      <c r="Z83" s="169"/>
    </row>
    <row r="84" spans="1:26" x14ac:dyDescent="0.3">
      <c r="A84" s="154"/>
      <c r="B84" s="155"/>
      <c r="C84" s="155"/>
      <c r="D84" s="155"/>
      <c r="E84" s="156"/>
      <c r="F84" s="157"/>
      <c r="G84" s="158"/>
      <c r="H84" s="159"/>
      <c r="I84" s="160"/>
      <c r="J84" s="161"/>
      <c r="K84" s="162"/>
      <c r="L84" s="163">
        <v>0</v>
      </c>
      <c r="M84" s="163">
        <v>0</v>
      </c>
      <c r="N84" s="164">
        <f t="shared" si="3"/>
        <v>0</v>
      </c>
      <c r="O84" s="165"/>
      <c r="P84" s="166"/>
      <c r="Q84" s="166"/>
      <c r="R84" s="166"/>
      <c r="S84" s="166"/>
      <c r="T84" s="162"/>
      <c r="U84" s="163">
        <v>0</v>
      </c>
      <c r="V84" s="167"/>
      <c r="W84" s="162"/>
      <c r="X84" s="163">
        <v>0</v>
      </c>
      <c r="Y84" s="168"/>
      <c r="Z84" s="169"/>
    </row>
    <row r="85" spans="1:26" x14ac:dyDescent="0.3">
      <c r="A85" s="154"/>
      <c r="B85" s="155"/>
      <c r="C85" s="155"/>
      <c r="D85" s="155"/>
      <c r="E85" s="156"/>
      <c r="F85" s="157"/>
      <c r="G85" s="158"/>
      <c r="H85" s="159"/>
      <c r="I85" s="160"/>
      <c r="J85" s="161"/>
      <c r="K85" s="162"/>
      <c r="L85" s="163">
        <v>0</v>
      </c>
      <c r="M85" s="163">
        <v>0</v>
      </c>
      <c r="N85" s="164">
        <f t="shared" si="3"/>
        <v>0</v>
      </c>
      <c r="O85" s="165"/>
      <c r="P85" s="166"/>
      <c r="Q85" s="166"/>
      <c r="R85" s="166"/>
      <c r="S85" s="166"/>
      <c r="T85" s="162"/>
      <c r="U85" s="163">
        <v>0</v>
      </c>
      <c r="V85" s="167"/>
      <c r="W85" s="162"/>
      <c r="X85" s="163">
        <v>0</v>
      </c>
      <c r="Y85" s="168"/>
      <c r="Z85" s="170"/>
    </row>
    <row r="86" spans="1:26" x14ac:dyDescent="0.3">
      <c r="A86" s="154"/>
      <c r="B86" s="155"/>
      <c r="C86" s="155"/>
      <c r="D86" s="155"/>
      <c r="E86" s="156"/>
      <c r="F86" s="157"/>
      <c r="G86" s="158"/>
      <c r="H86" s="159"/>
      <c r="I86" s="160"/>
      <c r="J86" s="161"/>
      <c r="K86" s="162"/>
      <c r="L86" s="163">
        <v>0</v>
      </c>
      <c r="M86" s="163">
        <v>0</v>
      </c>
      <c r="N86" s="164">
        <f t="shared" si="3"/>
        <v>0</v>
      </c>
      <c r="O86" s="165"/>
      <c r="P86" s="166"/>
      <c r="Q86" s="166"/>
      <c r="R86" s="166"/>
      <c r="S86" s="166"/>
      <c r="T86" s="162"/>
      <c r="U86" s="163">
        <v>0</v>
      </c>
      <c r="V86" s="167"/>
      <c r="W86" s="162"/>
      <c r="X86" s="163">
        <v>0</v>
      </c>
      <c r="Y86" s="168"/>
      <c r="Z86" s="170"/>
    </row>
    <row r="87" spans="1:26" x14ac:dyDescent="0.3">
      <c r="A87" s="154"/>
      <c r="B87" s="155"/>
      <c r="C87" s="155"/>
      <c r="D87" s="155"/>
      <c r="E87" s="156"/>
      <c r="F87" s="157"/>
      <c r="G87" s="158"/>
      <c r="H87" s="159"/>
      <c r="I87" s="160"/>
      <c r="J87" s="161"/>
      <c r="K87" s="162"/>
      <c r="L87" s="163">
        <v>0</v>
      </c>
      <c r="M87" s="163">
        <v>0</v>
      </c>
      <c r="N87" s="164">
        <f t="shared" si="3"/>
        <v>0</v>
      </c>
      <c r="O87" s="165"/>
      <c r="P87" s="166"/>
      <c r="Q87" s="166"/>
      <c r="R87" s="166"/>
      <c r="S87" s="166"/>
      <c r="T87" s="160"/>
      <c r="U87" s="163">
        <v>0</v>
      </c>
      <c r="V87" s="167"/>
      <c r="W87" s="160"/>
      <c r="X87" s="163">
        <v>0</v>
      </c>
      <c r="Y87" s="168"/>
      <c r="Z87" s="170"/>
    </row>
    <row r="88" spans="1:26" ht="15" thickBot="1" x14ac:dyDescent="0.35">
      <c r="A88" s="171"/>
      <c r="B88" s="172"/>
      <c r="C88" s="172"/>
      <c r="D88" s="172"/>
      <c r="E88" s="173"/>
      <c r="F88" s="174"/>
      <c r="G88" s="175"/>
      <c r="H88" s="176"/>
      <c r="I88" s="179"/>
      <c r="J88" s="184"/>
      <c r="K88" s="185"/>
      <c r="L88" s="180">
        <v>0</v>
      </c>
      <c r="M88" s="180">
        <v>0</v>
      </c>
      <c r="N88" s="186">
        <f t="shared" si="3"/>
        <v>0</v>
      </c>
      <c r="O88" s="177"/>
      <c r="P88" s="178"/>
      <c r="Q88" s="178"/>
      <c r="R88" s="178"/>
      <c r="S88" s="178"/>
      <c r="T88" s="179"/>
      <c r="U88" s="180">
        <v>0</v>
      </c>
      <c r="V88" s="181"/>
      <c r="W88" s="179"/>
      <c r="X88" s="180">
        <v>0</v>
      </c>
      <c r="Y88" s="182"/>
      <c r="Z88" s="183"/>
    </row>
    <row r="89" spans="1:26" x14ac:dyDescent="0.3">
      <c r="A89" s="138">
        <v>44056</v>
      </c>
      <c r="B89" s="139"/>
      <c r="C89" s="139"/>
      <c r="D89" s="139">
        <f t="shared" ref="D89" si="43">SUM(C89-B89)</f>
        <v>0</v>
      </c>
      <c r="E89" s="140">
        <f t="shared" ref="E89" si="44">SUM(D89)</f>
        <v>0</v>
      </c>
      <c r="F89" s="141">
        <v>1539</v>
      </c>
      <c r="G89" s="142">
        <f t="shared" ref="G89" si="45">PRODUCT(E89,36000)</f>
        <v>0</v>
      </c>
      <c r="H89" s="143"/>
      <c r="I89" s="144"/>
      <c r="J89" s="145"/>
      <c r="K89" s="146"/>
      <c r="L89" s="147">
        <v>0</v>
      </c>
      <c r="M89" s="147">
        <v>0</v>
      </c>
      <c r="N89" s="148">
        <f t="shared" si="3"/>
        <v>0</v>
      </c>
      <c r="O89" s="149">
        <f t="shared" ref="O89" si="46">SUM(N89:N95)</f>
        <v>0</v>
      </c>
      <c r="P89" s="150"/>
      <c r="Q89" s="150"/>
      <c r="R89" s="150"/>
      <c r="S89" s="150"/>
      <c r="T89" s="146"/>
      <c r="U89" s="147">
        <v>0</v>
      </c>
      <c r="V89" s="151">
        <f t="shared" ref="V89" si="47">U89:U95</f>
        <v>0</v>
      </c>
      <c r="W89" s="146"/>
      <c r="X89" s="147">
        <v>0</v>
      </c>
      <c r="Y89" s="152">
        <f t="shared" ref="Y89" si="48">X89:X95</f>
        <v>0</v>
      </c>
      <c r="Z89" s="153">
        <f t="shared" ref="Z89" si="49">G89+O89+V89-Y89</f>
        <v>0</v>
      </c>
    </row>
    <row r="90" spans="1:26" x14ac:dyDescent="0.3">
      <c r="A90" s="154"/>
      <c r="B90" s="155"/>
      <c r="C90" s="155"/>
      <c r="D90" s="155"/>
      <c r="E90" s="156"/>
      <c r="F90" s="157"/>
      <c r="G90" s="158"/>
      <c r="H90" s="159"/>
      <c r="I90" s="160"/>
      <c r="J90" s="161"/>
      <c r="K90" s="162"/>
      <c r="L90" s="163">
        <v>0</v>
      </c>
      <c r="M90" s="163">
        <v>0</v>
      </c>
      <c r="N90" s="164">
        <f t="shared" si="3"/>
        <v>0</v>
      </c>
      <c r="O90" s="165"/>
      <c r="P90" s="166"/>
      <c r="Q90" s="166"/>
      <c r="R90" s="166"/>
      <c r="S90" s="166"/>
      <c r="T90" s="162"/>
      <c r="U90" s="163">
        <v>0</v>
      </c>
      <c r="V90" s="167"/>
      <c r="W90" s="162"/>
      <c r="X90" s="163">
        <v>0</v>
      </c>
      <c r="Y90" s="168"/>
      <c r="Z90" s="169"/>
    </row>
    <row r="91" spans="1:26" x14ac:dyDescent="0.3">
      <c r="A91" s="154"/>
      <c r="B91" s="155"/>
      <c r="C91" s="155"/>
      <c r="D91" s="155"/>
      <c r="E91" s="156"/>
      <c r="F91" s="157"/>
      <c r="G91" s="158"/>
      <c r="H91" s="159"/>
      <c r="I91" s="160"/>
      <c r="J91" s="161"/>
      <c r="K91" s="162"/>
      <c r="L91" s="163">
        <v>0</v>
      </c>
      <c r="M91" s="163">
        <v>0</v>
      </c>
      <c r="N91" s="164">
        <f t="shared" si="3"/>
        <v>0</v>
      </c>
      <c r="O91" s="165"/>
      <c r="P91" s="166"/>
      <c r="Q91" s="166"/>
      <c r="R91" s="166"/>
      <c r="S91" s="166"/>
      <c r="T91" s="162"/>
      <c r="U91" s="163">
        <v>0</v>
      </c>
      <c r="V91" s="167"/>
      <c r="W91" s="162"/>
      <c r="X91" s="163">
        <v>0</v>
      </c>
      <c r="Y91" s="168"/>
      <c r="Z91" s="169"/>
    </row>
    <row r="92" spans="1:26" x14ac:dyDescent="0.3">
      <c r="A92" s="154"/>
      <c r="B92" s="155"/>
      <c r="C92" s="155"/>
      <c r="D92" s="155"/>
      <c r="E92" s="156"/>
      <c r="F92" s="157"/>
      <c r="G92" s="158"/>
      <c r="H92" s="159"/>
      <c r="I92" s="160"/>
      <c r="J92" s="161"/>
      <c r="K92" s="162"/>
      <c r="L92" s="163">
        <v>0</v>
      </c>
      <c r="M92" s="163">
        <v>0</v>
      </c>
      <c r="N92" s="164">
        <f t="shared" si="3"/>
        <v>0</v>
      </c>
      <c r="O92" s="165"/>
      <c r="P92" s="166"/>
      <c r="Q92" s="166"/>
      <c r="R92" s="166"/>
      <c r="S92" s="166"/>
      <c r="T92" s="162"/>
      <c r="U92" s="163">
        <v>0</v>
      </c>
      <c r="V92" s="167"/>
      <c r="W92" s="162"/>
      <c r="X92" s="163">
        <v>0</v>
      </c>
      <c r="Y92" s="168"/>
      <c r="Z92" s="170"/>
    </row>
    <row r="93" spans="1:26" x14ac:dyDescent="0.3">
      <c r="A93" s="154"/>
      <c r="B93" s="155"/>
      <c r="C93" s="155"/>
      <c r="D93" s="155"/>
      <c r="E93" s="156"/>
      <c r="F93" s="157"/>
      <c r="G93" s="158"/>
      <c r="H93" s="159"/>
      <c r="I93" s="160"/>
      <c r="J93" s="161"/>
      <c r="K93" s="162"/>
      <c r="L93" s="163">
        <v>0</v>
      </c>
      <c r="M93" s="163">
        <v>0</v>
      </c>
      <c r="N93" s="164">
        <f t="shared" si="3"/>
        <v>0</v>
      </c>
      <c r="O93" s="165"/>
      <c r="P93" s="166"/>
      <c r="Q93" s="166"/>
      <c r="R93" s="166"/>
      <c r="S93" s="166"/>
      <c r="T93" s="162"/>
      <c r="U93" s="163">
        <v>0</v>
      </c>
      <c r="V93" s="167"/>
      <c r="W93" s="162"/>
      <c r="X93" s="163">
        <v>0</v>
      </c>
      <c r="Y93" s="168"/>
      <c r="Z93" s="170"/>
    </row>
    <row r="94" spans="1:26" x14ac:dyDescent="0.3">
      <c r="A94" s="154"/>
      <c r="B94" s="155"/>
      <c r="C94" s="155"/>
      <c r="D94" s="155"/>
      <c r="E94" s="156"/>
      <c r="F94" s="157"/>
      <c r="G94" s="158"/>
      <c r="H94" s="159"/>
      <c r="I94" s="160"/>
      <c r="J94" s="161"/>
      <c r="K94" s="162"/>
      <c r="L94" s="163">
        <v>0</v>
      </c>
      <c r="M94" s="163">
        <v>0</v>
      </c>
      <c r="N94" s="164">
        <f t="shared" si="3"/>
        <v>0</v>
      </c>
      <c r="O94" s="165"/>
      <c r="P94" s="166"/>
      <c r="Q94" s="166"/>
      <c r="R94" s="166"/>
      <c r="S94" s="166"/>
      <c r="T94" s="160"/>
      <c r="U94" s="163">
        <v>0</v>
      </c>
      <c r="V94" s="167"/>
      <c r="W94" s="160"/>
      <c r="X94" s="163">
        <v>0</v>
      </c>
      <c r="Y94" s="168"/>
      <c r="Z94" s="170"/>
    </row>
    <row r="95" spans="1:26" ht="15" thickBot="1" x14ac:dyDescent="0.35">
      <c r="A95" s="171"/>
      <c r="B95" s="172"/>
      <c r="C95" s="172"/>
      <c r="D95" s="172"/>
      <c r="E95" s="173"/>
      <c r="F95" s="174"/>
      <c r="G95" s="175"/>
      <c r="H95" s="176"/>
      <c r="I95" s="179"/>
      <c r="J95" s="184"/>
      <c r="K95" s="185"/>
      <c r="L95" s="180">
        <v>0</v>
      </c>
      <c r="M95" s="180">
        <v>0</v>
      </c>
      <c r="N95" s="186">
        <f t="shared" si="3"/>
        <v>0</v>
      </c>
      <c r="O95" s="177"/>
      <c r="P95" s="178"/>
      <c r="Q95" s="178"/>
      <c r="R95" s="178"/>
      <c r="S95" s="178"/>
      <c r="T95" s="179"/>
      <c r="U95" s="180">
        <v>0</v>
      </c>
      <c r="V95" s="181"/>
      <c r="W95" s="179"/>
      <c r="X95" s="180">
        <v>0</v>
      </c>
      <c r="Y95" s="182"/>
      <c r="Z95" s="183"/>
    </row>
    <row r="96" spans="1:26" x14ac:dyDescent="0.3">
      <c r="A96" s="138">
        <v>44057</v>
      </c>
      <c r="B96" s="139"/>
      <c r="C96" s="139"/>
      <c r="D96" s="139">
        <f t="shared" ref="D96" si="50">SUM(C96-B96)</f>
        <v>0</v>
      </c>
      <c r="E96" s="140">
        <f t="shared" ref="E96" si="51">SUM(D96)</f>
        <v>0</v>
      </c>
      <c r="F96" s="141">
        <v>1540</v>
      </c>
      <c r="G96" s="142">
        <f t="shared" ref="G96" si="52">PRODUCT(E96,36000)</f>
        <v>0</v>
      </c>
      <c r="H96" s="143"/>
      <c r="I96" s="144"/>
      <c r="J96" s="145"/>
      <c r="K96" s="146"/>
      <c r="L96" s="147">
        <v>0</v>
      </c>
      <c r="M96" s="147">
        <v>0</v>
      </c>
      <c r="N96" s="148">
        <f t="shared" si="3"/>
        <v>0</v>
      </c>
      <c r="O96" s="149">
        <f t="shared" ref="O96" si="53">SUM(N96:N102)</f>
        <v>0</v>
      </c>
      <c r="P96" s="150"/>
      <c r="Q96" s="150"/>
      <c r="R96" s="150"/>
      <c r="S96" s="150"/>
      <c r="T96" s="146"/>
      <c r="U96" s="147">
        <v>0</v>
      </c>
      <c r="V96" s="151">
        <f t="shared" ref="V96" si="54">U96:U102</f>
        <v>0</v>
      </c>
      <c r="W96" s="146"/>
      <c r="X96" s="147">
        <v>0</v>
      </c>
      <c r="Y96" s="152">
        <f t="shared" ref="Y96" si="55">X96:X102</f>
        <v>0</v>
      </c>
      <c r="Z96" s="153">
        <f t="shared" ref="Z96" si="56">G96+O96+V96-Y96</f>
        <v>0</v>
      </c>
    </row>
    <row r="97" spans="1:26" x14ac:dyDescent="0.3">
      <c r="A97" s="154"/>
      <c r="B97" s="155"/>
      <c r="C97" s="155"/>
      <c r="D97" s="155"/>
      <c r="E97" s="156"/>
      <c r="F97" s="157"/>
      <c r="G97" s="158"/>
      <c r="H97" s="159"/>
      <c r="I97" s="160"/>
      <c r="J97" s="161"/>
      <c r="K97" s="162"/>
      <c r="L97" s="163">
        <v>0</v>
      </c>
      <c r="M97" s="163">
        <v>0</v>
      </c>
      <c r="N97" s="164">
        <f t="shared" si="3"/>
        <v>0</v>
      </c>
      <c r="O97" s="165"/>
      <c r="P97" s="166"/>
      <c r="Q97" s="166"/>
      <c r="R97" s="166"/>
      <c r="S97" s="166"/>
      <c r="T97" s="162"/>
      <c r="U97" s="163">
        <v>0</v>
      </c>
      <c r="V97" s="167"/>
      <c r="W97" s="162"/>
      <c r="X97" s="163">
        <v>0</v>
      </c>
      <c r="Y97" s="168"/>
      <c r="Z97" s="169"/>
    </row>
    <row r="98" spans="1:26" x14ac:dyDescent="0.3">
      <c r="A98" s="154"/>
      <c r="B98" s="155"/>
      <c r="C98" s="155"/>
      <c r="D98" s="155"/>
      <c r="E98" s="156"/>
      <c r="F98" s="157"/>
      <c r="G98" s="158"/>
      <c r="H98" s="159"/>
      <c r="I98" s="160"/>
      <c r="J98" s="161"/>
      <c r="K98" s="162"/>
      <c r="L98" s="163">
        <v>0</v>
      </c>
      <c r="M98" s="163">
        <v>0</v>
      </c>
      <c r="N98" s="164">
        <f t="shared" si="3"/>
        <v>0</v>
      </c>
      <c r="O98" s="165"/>
      <c r="P98" s="166"/>
      <c r="Q98" s="166"/>
      <c r="R98" s="166"/>
      <c r="S98" s="166"/>
      <c r="T98" s="162"/>
      <c r="U98" s="163">
        <v>0</v>
      </c>
      <c r="V98" s="167"/>
      <c r="W98" s="162"/>
      <c r="X98" s="163">
        <v>0</v>
      </c>
      <c r="Y98" s="168"/>
      <c r="Z98" s="169"/>
    </row>
    <row r="99" spans="1:26" x14ac:dyDescent="0.3">
      <c r="A99" s="154"/>
      <c r="B99" s="155"/>
      <c r="C99" s="155"/>
      <c r="D99" s="155"/>
      <c r="E99" s="156"/>
      <c r="F99" s="157"/>
      <c r="G99" s="158"/>
      <c r="H99" s="159"/>
      <c r="I99" s="160"/>
      <c r="J99" s="161"/>
      <c r="K99" s="162"/>
      <c r="L99" s="163">
        <v>0</v>
      </c>
      <c r="M99" s="163">
        <v>0</v>
      </c>
      <c r="N99" s="164">
        <f t="shared" si="3"/>
        <v>0</v>
      </c>
      <c r="O99" s="165"/>
      <c r="P99" s="166"/>
      <c r="Q99" s="166"/>
      <c r="R99" s="166"/>
      <c r="S99" s="166"/>
      <c r="T99" s="162"/>
      <c r="U99" s="163">
        <v>0</v>
      </c>
      <c r="V99" s="167"/>
      <c r="W99" s="162"/>
      <c r="X99" s="163">
        <v>0</v>
      </c>
      <c r="Y99" s="168"/>
      <c r="Z99" s="170"/>
    </row>
    <row r="100" spans="1:26" x14ac:dyDescent="0.3">
      <c r="A100" s="154"/>
      <c r="B100" s="155"/>
      <c r="C100" s="155"/>
      <c r="D100" s="155"/>
      <c r="E100" s="156"/>
      <c r="F100" s="157"/>
      <c r="G100" s="158"/>
      <c r="H100" s="159"/>
      <c r="I100" s="160"/>
      <c r="J100" s="161"/>
      <c r="K100" s="162"/>
      <c r="L100" s="163">
        <v>0</v>
      </c>
      <c r="M100" s="163">
        <v>0</v>
      </c>
      <c r="N100" s="164">
        <f t="shared" si="3"/>
        <v>0</v>
      </c>
      <c r="O100" s="165"/>
      <c r="P100" s="166"/>
      <c r="Q100" s="166"/>
      <c r="R100" s="166"/>
      <c r="S100" s="166"/>
      <c r="T100" s="162"/>
      <c r="U100" s="163">
        <v>0</v>
      </c>
      <c r="V100" s="167"/>
      <c r="W100" s="162"/>
      <c r="X100" s="163">
        <v>0</v>
      </c>
      <c r="Y100" s="168"/>
      <c r="Z100" s="170"/>
    </row>
    <row r="101" spans="1:26" x14ac:dyDescent="0.3">
      <c r="A101" s="154"/>
      <c r="B101" s="155"/>
      <c r="C101" s="155"/>
      <c r="D101" s="155"/>
      <c r="E101" s="156"/>
      <c r="F101" s="157"/>
      <c r="G101" s="158"/>
      <c r="H101" s="159"/>
      <c r="I101" s="160"/>
      <c r="J101" s="161"/>
      <c r="K101" s="162"/>
      <c r="L101" s="163">
        <v>0</v>
      </c>
      <c r="M101" s="163">
        <v>0</v>
      </c>
      <c r="N101" s="164">
        <f t="shared" si="3"/>
        <v>0</v>
      </c>
      <c r="O101" s="165"/>
      <c r="P101" s="166"/>
      <c r="Q101" s="166"/>
      <c r="R101" s="166"/>
      <c r="S101" s="166"/>
      <c r="T101" s="160"/>
      <c r="U101" s="163">
        <v>0</v>
      </c>
      <c r="V101" s="167"/>
      <c r="W101" s="160"/>
      <c r="X101" s="163">
        <v>0</v>
      </c>
      <c r="Y101" s="168"/>
      <c r="Z101" s="170"/>
    </row>
    <row r="102" spans="1:26" ht="15" thickBot="1" x14ac:dyDescent="0.35">
      <c r="A102" s="171"/>
      <c r="B102" s="172"/>
      <c r="C102" s="172"/>
      <c r="D102" s="172"/>
      <c r="E102" s="173"/>
      <c r="F102" s="174"/>
      <c r="G102" s="175"/>
      <c r="H102" s="176"/>
      <c r="I102" s="179"/>
      <c r="J102" s="184"/>
      <c r="K102" s="185"/>
      <c r="L102" s="180">
        <v>0</v>
      </c>
      <c r="M102" s="180">
        <v>0</v>
      </c>
      <c r="N102" s="186">
        <f t="shared" si="3"/>
        <v>0</v>
      </c>
      <c r="O102" s="177"/>
      <c r="P102" s="178"/>
      <c r="Q102" s="178"/>
      <c r="R102" s="178"/>
      <c r="S102" s="178"/>
      <c r="T102" s="179"/>
      <c r="U102" s="180">
        <v>0</v>
      </c>
      <c r="V102" s="181"/>
      <c r="W102" s="179"/>
      <c r="X102" s="180">
        <v>0</v>
      </c>
      <c r="Y102" s="182"/>
      <c r="Z102" s="183"/>
    </row>
    <row r="103" spans="1:26" ht="24" customHeight="1" thickBot="1" x14ac:dyDescent="0.35">
      <c r="A103" s="187" t="s">
        <v>23</v>
      </c>
      <c r="B103" s="188"/>
      <c r="C103" s="188"/>
      <c r="D103" s="188"/>
      <c r="E103" s="189"/>
      <c r="F103" s="190"/>
      <c r="G103" s="191">
        <f>SUM(G82:G102)</f>
        <v>0</v>
      </c>
      <c r="H103" s="192"/>
      <c r="I103" s="193"/>
      <c r="J103" s="194"/>
      <c r="K103" s="193"/>
      <c r="L103" s="195"/>
      <c r="M103" s="195"/>
      <c r="N103" s="196"/>
      <c r="O103" s="197">
        <f>SUM(O82:O102)</f>
        <v>0</v>
      </c>
      <c r="P103" s="193"/>
      <c r="Q103" s="193"/>
      <c r="R103" s="193"/>
      <c r="S103" s="193"/>
      <c r="T103" s="193"/>
      <c r="U103" s="195"/>
      <c r="V103" s="198"/>
      <c r="W103" s="193"/>
      <c r="X103" s="195"/>
      <c r="Y103" s="199"/>
      <c r="Z103" s="197">
        <f>SUM(Z82:Z102)</f>
        <v>0</v>
      </c>
    </row>
    <row r="104" spans="1:26" x14ac:dyDescent="0.3">
      <c r="A104" s="138">
        <v>44058</v>
      </c>
      <c r="B104" s="139"/>
      <c r="C104" s="139"/>
      <c r="D104" s="139">
        <f t="shared" ref="D104" si="57">SUM(C104-B104)</f>
        <v>0</v>
      </c>
      <c r="E104" s="140">
        <f t="shared" ref="E104" si="58">SUM(D104)</f>
        <v>0</v>
      </c>
      <c r="F104" s="141">
        <v>1541</v>
      </c>
      <c r="G104" s="142">
        <f t="shared" ref="G104" si="59">PRODUCT(E104,36000)</f>
        <v>0</v>
      </c>
      <c r="H104" s="143"/>
      <c r="I104" s="144"/>
      <c r="J104" s="145"/>
      <c r="K104" s="146"/>
      <c r="L104" s="147">
        <v>0</v>
      </c>
      <c r="M104" s="147">
        <v>0</v>
      </c>
      <c r="N104" s="148">
        <f t="shared" si="3"/>
        <v>0</v>
      </c>
      <c r="O104" s="149">
        <f t="shared" ref="O104" si="60">SUM(N104:N110)</f>
        <v>0</v>
      </c>
      <c r="P104" s="150"/>
      <c r="Q104" s="150"/>
      <c r="R104" s="150"/>
      <c r="S104" s="150"/>
      <c r="T104" s="146"/>
      <c r="U104" s="147">
        <v>0</v>
      </c>
      <c r="V104" s="151">
        <f t="shared" ref="V104" si="61">U104:U110</f>
        <v>0</v>
      </c>
      <c r="W104" s="146"/>
      <c r="X104" s="147">
        <v>0</v>
      </c>
      <c r="Y104" s="152">
        <f t="shared" ref="Y104" si="62">X104:X110</f>
        <v>0</v>
      </c>
      <c r="Z104" s="153">
        <f t="shared" ref="Z104" si="63">G104+O104+V104-Y104</f>
        <v>0</v>
      </c>
    </row>
    <row r="105" spans="1:26" x14ac:dyDescent="0.3">
      <c r="A105" s="154"/>
      <c r="B105" s="155"/>
      <c r="C105" s="155"/>
      <c r="D105" s="155"/>
      <c r="E105" s="156"/>
      <c r="F105" s="157"/>
      <c r="G105" s="158"/>
      <c r="H105" s="159"/>
      <c r="I105" s="160"/>
      <c r="J105" s="161"/>
      <c r="K105" s="162"/>
      <c r="L105" s="163">
        <v>0</v>
      </c>
      <c r="M105" s="163">
        <v>0</v>
      </c>
      <c r="N105" s="164">
        <f t="shared" si="3"/>
        <v>0</v>
      </c>
      <c r="O105" s="165"/>
      <c r="P105" s="166"/>
      <c r="Q105" s="166"/>
      <c r="R105" s="166"/>
      <c r="S105" s="166"/>
      <c r="T105" s="162"/>
      <c r="U105" s="163">
        <v>0</v>
      </c>
      <c r="V105" s="167"/>
      <c r="W105" s="162"/>
      <c r="X105" s="163">
        <v>0</v>
      </c>
      <c r="Y105" s="168"/>
      <c r="Z105" s="169"/>
    </row>
    <row r="106" spans="1:26" x14ac:dyDescent="0.3">
      <c r="A106" s="154"/>
      <c r="B106" s="155"/>
      <c r="C106" s="155"/>
      <c r="D106" s="155"/>
      <c r="E106" s="156"/>
      <c r="F106" s="157"/>
      <c r="G106" s="158"/>
      <c r="H106" s="159"/>
      <c r="I106" s="160"/>
      <c r="J106" s="161"/>
      <c r="K106" s="162"/>
      <c r="L106" s="163">
        <v>0</v>
      </c>
      <c r="M106" s="163">
        <v>0</v>
      </c>
      <c r="N106" s="164">
        <f t="shared" si="3"/>
        <v>0</v>
      </c>
      <c r="O106" s="165"/>
      <c r="P106" s="166"/>
      <c r="Q106" s="166"/>
      <c r="R106" s="166"/>
      <c r="S106" s="166"/>
      <c r="T106" s="162"/>
      <c r="U106" s="163">
        <v>0</v>
      </c>
      <c r="V106" s="167"/>
      <c r="W106" s="162"/>
      <c r="X106" s="163">
        <v>0</v>
      </c>
      <c r="Y106" s="168"/>
      <c r="Z106" s="169"/>
    </row>
    <row r="107" spans="1:26" x14ac:dyDescent="0.3">
      <c r="A107" s="154"/>
      <c r="B107" s="155"/>
      <c r="C107" s="155"/>
      <c r="D107" s="155"/>
      <c r="E107" s="156"/>
      <c r="F107" s="157"/>
      <c r="G107" s="158"/>
      <c r="H107" s="159"/>
      <c r="I107" s="160"/>
      <c r="J107" s="161"/>
      <c r="K107" s="162"/>
      <c r="L107" s="163">
        <v>0</v>
      </c>
      <c r="M107" s="163">
        <v>0</v>
      </c>
      <c r="N107" s="164">
        <f t="shared" si="3"/>
        <v>0</v>
      </c>
      <c r="O107" s="165"/>
      <c r="P107" s="166"/>
      <c r="Q107" s="166"/>
      <c r="R107" s="166"/>
      <c r="S107" s="166"/>
      <c r="T107" s="162"/>
      <c r="U107" s="163">
        <v>0</v>
      </c>
      <c r="V107" s="167"/>
      <c r="W107" s="162"/>
      <c r="X107" s="163">
        <v>0</v>
      </c>
      <c r="Y107" s="168"/>
      <c r="Z107" s="170"/>
    </row>
    <row r="108" spans="1:26" x14ac:dyDescent="0.3">
      <c r="A108" s="154"/>
      <c r="B108" s="155"/>
      <c r="C108" s="155"/>
      <c r="D108" s="155"/>
      <c r="E108" s="156"/>
      <c r="F108" s="157"/>
      <c r="G108" s="158"/>
      <c r="H108" s="159"/>
      <c r="I108" s="160"/>
      <c r="J108" s="161"/>
      <c r="K108" s="162"/>
      <c r="L108" s="163">
        <v>0</v>
      </c>
      <c r="M108" s="163">
        <v>0</v>
      </c>
      <c r="N108" s="164">
        <f t="shared" si="3"/>
        <v>0</v>
      </c>
      <c r="O108" s="165"/>
      <c r="P108" s="166"/>
      <c r="Q108" s="166"/>
      <c r="R108" s="166"/>
      <c r="S108" s="166"/>
      <c r="T108" s="162"/>
      <c r="U108" s="163">
        <v>0</v>
      </c>
      <c r="V108" s="167"/>
      <c r="W108" s="162"/>
      <c r="X108" s="163">
        <v>0</v>
      </c>
      <c r="Y108" s="168"/>
      <c r="Z108" s="170"/>
    </row>
    <row r="109" spans="1:26" x14ac:dyDescent="0.3">
      <c r="A109" s="154"/>
      <c r="B109" s="155"/>
      <c r="C109" s="155"/>
      <c r="D109" s="155"/>
      <c r="E109" s="156"/>
      <c r="F109" s="157"/>
      <c r="G109" s="158"/>
      <c r="H109" s="159"/>
      <c r="I109" s="160"/>
      <c r="J109" s="161"/>
      <c r="K109" s="162"/>
      <c r="L109" s="163">
        <v>0</v>
      </c>
      <c r="M109" s="163">
        <v>0</v>
      </c>
      <c r="N109" s="164">
        <f t="shared" si="3"/>
        <v>0</v>
      </c>
      <c r="O109" s="165"/>
      <c r="P109" s="166"/>
      <c r="Q109" s="166"/>
      <c r="R109" s="166"/>
      <c r="S109" s="166"/>
      <c r="T109" s="160"/>
      <c r="U109" s="163">
        <v>0</v>
      </c>
      <c r="V109" s="167"/>
      <c r="W109" s="160"/>
      <c r="X109" s="163">
        <v>0</v>
      </c>
      <c r="Y109" s="168"/>
      <c r="Z109" s="170"/>
    </row>
    <row r="110" spans="1:26" ht="15" thickBot="1" x14ac:dyDescent="0.35">
      <c r="A110" s="171"/>
      <c r="B110" s="172"/>
      <c r="C110" s="172"/>
      <c r="D110" s="172"/>
      <c r="E110" s="173"/>
      <c r="F110" s="174"/>
      <c r="G110" s="175"/>
      <c r="H110" s="176"/>
      <c r="I110" s="179"/>
      <c r="J110" s="184"/>
      <c r="K110" s="185"/>
      <c r="L110" s="180">
        <v>0</v>
      </c>
      <c r="M110" s="180">
        <v>0</v>
      </c>
      <c r="N110" s="186">
        <f t="shared" si="3"/>
        <v>0</v>
      </c>
      <c r="O110" s="177"/>
      <c r="P110" s="178"/>
      <c r="Q110" s="178"/>
      <c r="R110" s="178"/>
      <c r="S110" s="178"/>
      <c r="T110" s="179"/>
      <c r="U110" s="180">
        <v>0</v>
      </c>
      <c r="V110" s="181"/>
      <c r="W110" s="179"/>
      <c r="X110" s="180">
        <v>0</v>
      </c>
      <c r="Y110" s="182"/>
      <c r="Z110" s="183"/>
    </row>
    <row r="111" spans="1:26" x14ac:dyDescent="0.3">
      <c r="A111" s="138">
        <v>44059</v>
      </c>
      <c r="B111" s="139"/>
      <c r="C111" s="139"/>
      <c r="D111" s="139">
        <f t="shared" ref="D111" si="64">SUM(C111-B111)</f>
        <v>0</v>
      </c>
      <c r="E111" s="140">
        <f t="shared" ref="E111" si="65">SUM(D111)</f>
        <v>0</v>
      </c>
      <c r="F111" s="141">
        <v>1542</v>
      </c>
      <c r="G111" s="142">
        <f t="shared" ref="G111" si="66">PRODUCT(E111,36000)</f>
        <v>0</v>
      </c>
      <c r="H111" s="143"/>
      <c r="I111" s="144"/>
      <c r="J111" s="145"/>
      <c r="K111" s="146"/>
      <c r="L111" s="147">
        <v>0</v>
      </c>
      <c r="M111" s="147">
        <v>0</v>
      </c>
      <c r="N111" s="148">
        <f t="shared" si="3"/>
        <v>0</v>
      </c>
      <c r="O111" s="149">
        <f t="shared" ref="O111" si="67">SUM(N111:N117)</f>
        <v>0</v>
      </c>
      <c r="P111" s="150"/>
      <c r="Q111" s="150"/>
      <c r="R111" s="150"/>
      <c r="S111" s="150"/>
      <c r="T111" s="146"/>
      <c r="U111" s="147">
        <v>0</v>
      </c>
      <c r="V111" s="151">
        <f t="shared" ref="V111" si="68">U111:U117</f>
        <v>0</v>
      </c>
      <c r="W111" s="146"/>
      <c r="X111" s="147">
        <v>0</v>
      </c>
      <c r="Y111" s="152">
        <f t="shared" ref="Y111" si="69">X111:X117</f>
        <v>0</v>
      </c>
      <c r="Z111" s="153">
        <f t="shared" ref="Z111" si="70">G111+O111+V111-Y111</f>
        <v>0</v>
      </c>
    </row>
    <row r="112" spans="1:26" x14ac:dyDescent="0.3">
      <c r="A112" s="154"/>
      <c r="B112" s="155"/>
      <c r="C112" s="155"/>
      <c r="D112" s="155"/>
      <c r="E112" s="156"/>
      <c r="F112" s="157"/>
      <c r="G112" s="158"/>
      <c r="H112" s="159"/>
      <c r="I112" s="160"/>
      <c r="J112" s="161"/>
      <c r="K112" s="162"/>
      <c r="L112" s="163">
        <v>0</v>
      </c>
      <c r="M112" s="163">
        <v>0</v>
      </c>
      <c r="N112" s="164">
        <f t="shared" ref="N112:N152" si="71">SUMPRODUCT(L112,M112)</f>
        <v>0</v>
      </c>
      <c r="O112" s="165"/>
      <c r="P112" s="166"/>
      <c r="Q112" s="166"/>
      <c r="R112" s="166"/>
      <c r="S112" s="166"/>
      <c r="T112" s="162"/>
      <c r="U112" s="163">
        <v>0</v>
      </c>
      <c r="V112" s="167"/>
      <c r="W112" s="162"/>
      <c r="X112" s="163">
        <v>0</v>
      </c>
      <c r="Y112" s="168"/>
      <c r="Z112" s="169"/>
    </row>
    <row r="113" spans="1:26" x14ac:dyDescent="0.3">
      <c r="A113" s="154"/>
      <c r="B113" s="155"/>
      <c r="C113" s="155"/>
      <c r="D113" s="155"/>
      <c r="E113" s="156"/>
      <c r="F113" s="157"/>
      <c r="G113" s="158"/>
      <c r="H113" s="159"/>
      <c r="I113" s="160"/>
      <c r="J113" s="161"/>
      <c r="K113" s="162"/>
      <c r="L113" s="163">
        <v>0</v>
      </c>
      <c r="M113" s="163">
        <v>0</v>
      </c>
      <c r="N113" s="164">
        <f t="shared" si="71"/>
        <v>0</v>
      </c>
      <c r="O113" s="165"/>
      <c r="P113" s="166"/>
      <c r="Q113" s="166"/>
      <c r="R113" s="166"/>
      <c r="S113" s="166"/>
      <c r="T113" s="162"/>
      <c r="U113" s="163">
        <v>0</v>
      </c>
      <c r="V113" s="167"/>
      <c r="W113" s="162"/>
      <c r="X113" s="163">
        <v>0</v>
      </c>
      <c r="Y113" s="168"/>
      <c r="Z113" s="169"/>
    </row>
    <row r="114" spans="1:26" x14ac:dyDescent="0.3">
      <c r="A114" s="154"/>
      <c r="B114" s="155"/>
      <c r="C114" s="155"/>
      <c r="D114" s="155"/>
      <c r="E114" s="156"/>
      <c r="F114" s="157"/>
      <c r="G114" s="158"/>
      <c r="H114" s="159"/>
      <c r="I114" s="160"/>
      <c r="J114" s="161"/>
      <c r="K114" s="162"/>
      <c r="L114" s="163">
        <v>0</v>
      </c>
      <c r="M114" s="163">
        <v>0</v>
      </c>
      <c r="N114" s="164">
        <f t="shared" si="71"/>
        <v>0</v>
      </c>
      <c r="O114" s="165"/>
      <c r="P114" s="166"/>
      <c r="Q114" s="166"/>
      <c r="R114" s="166"/>
      <c r="S114" s="166"/>
      <c r="T114" s="162"/>
      <c r="U114" s="163">
        <v>0</v>
      </c>
      <c r="V114" s="167"/>
      <c r="W114" s="162"/>
      <c r="X114" s="163">
        <v>0</v>
      </c>
      <c r="Y114" s="168"/>
      <c r="Z114" s="170"/>
    </row>
    <row r="115" spans="1:26" x14ac:dyDescent="0.3">
      <c r="A115" s="154"/>
      <c r="B115" s="155"/>
      <c r="C115" s="155"/>
      <c r="D115" s="155"/>
      <c r="E115" s="156"/>
      <c r="F115" s="157"/>
      <c r="G115" s="158"/>
      <c r="H115" s="159"/>
      <c r="I115" s="160"/>
      <c r="J115" s="161"/>
      <c r="K115" s="162"/>
      <c r="L115" s="163">
        <v>0</v>
      </c>
      <c r="M115" s="163">
        <v>0</v>
      </c>
      <c r="N115" s="164">
        <f t="shared" si="71"/>
        <v>0</v>
      </c>
      <c r="O115" s="165"/>
      <c r="P115" s="166"/>
      <c r="Q115" s="166"/>
      <c r="R115" s="166"/>
      <c r="S115" s="166"/>
      <c r="T115" s="162"/>
      <c r="U115" s="163">
        <v>0</v>
      </c>
      <c r="V115" s="167"/>
      <c r="W115" s="162"/>
      <c r="X115" s="163">
        <v>0</v>
      </c>
      <c r="Y115" s="168"/>
      <c r="Z115" s="170"/>
    </row>
    <row r="116" spans="1:26" x14ac:dyDescent="0.3">
      <c r="A116" s="154"/>
      <c r="B116" s="155"/>
      <c r="C116" s="155"/>
      <c r="D116" s="155"/>
      <c r="E116" s="156"/>
      <c r="F116" s="157"/>
      <c r="G116" s="158"/>
      <c r="H116" s="159"/>
      <c r="I116" s="160"/>
      <c r="J116" s="161"/>
      <c r="K116" s="162"/>
      <c r="L116" s="163">
        <v>0</v>
      </c>
      <c r="M116" s="163">
        <v>0</v>
      </c>
      <c r="N116" s="164">
        <f t="shared" si="71"/>
        <v>0</v>
      </c>
      <c r="O116" s="165"/>
      <c r="P116" s="166"/>
      <c r="Q116" s="166"/>
      <c r="R116" s="166"/>
      <c r="S116" s="166"/>
      <c r="T116" s="160"/>
      <c r="U116" s="163">
        <v>0</v>
      </c>
      <c r="V116" s="167"/>
      <c r="W116" s="160"/>
      <c r="X116" s="163">
        <v>0</v>
      </c>
      <c r="Y116" s="168"/>
      <c r="Z116" s="170"/>
    </row>
    <row r="117" spans="1:26" ht="15" thickBot="1" x14ac:dyDescent="0.35">
      <c r="A117" s="171"/>
      <c r="B117" s="172"/>
      <c r="C117" s="172"/>
      <c r="D117" s="172"/>
      <c r="E117" s="173"/>
      <c r="F117" s="174"/>
      <c r="G117" s="175"/>
      <c r="H117" s="176"/>
      <c r="I117" s="179"/>
      <c r="J117" s="184"/>
      <c r="K117" s="185"/>
      <c r="L117" s="180">
        <v>0</v>
      </c>
      <c r="M117" s="180">
        <v>0</v>
      </c>
      <c r="N117" s="186">
        <f t="shared" si="71"/>
        <v>0</v>
      </c>
      <c r="O117" s="177"/>
      <c r="P117" s="178"/>
      <c r="Q117" s="178"/>
      <c r="R117" s="178"/>
      <c r="S117" s="178"/>
      <c r="T117" s="179"/>
      <c r="U117" s="180">
        <v>0</v>
      </c>
      <c r="V117" s="181"/>
      <c r="W117" s="179"/>
      <c r="X117" s="180">
        <v>0</v>
      </c>
      <c r="Y117" s="182"/>
      <c r="Z117" s="183"/>
    </row>
    <row r="118" spans="1:26" x14ac:dyDescent="0.3">
      <c r="A118" s="138">
        <v>44060</v>
      </c>
      <c r="B118" s="139"/>
      <c r="C118" s="139"/>
      <c r="D118" s="139">
        <f t="shared" ref="D118" si="72">SUM(C118-B118)</f>
        <v>0</v>
      </c>
      <c r="E118" s="140">
        <f t="shared" ref="E118" si="73">SUM(D118)</f>
        <v>0</v>
      </c>
      <c r="F118" s="141">
        <v>1543</v>
      </c>
      <c r="G118" s="142">
        <f t="shared" ref="G118" si="74">PRODUCT(E118,36000)</f>
        <v>0</v>
      </c>
      <c r="H118" s="143"/>
      <c r="I118" s="144"/>
      <c r="J118" s="145"/>
      <c r="K118" s="146"/>
      <c r="L118" s="147">
        <v>0</v>
      </c>
      <c r="M118" s="147">
        <v>0</v>
      </c>
      <c r="N118" s="148">
        <f t="shared" si="71"/>
        <v>0</v>
      </c>
      <c r="O118" s="149">
        <f t="shared" ref="O118" si="75">SUM(N118:N124)</f>
        <v>0</v>
      </c>
      <c r="P118" s="150"/>
      <c r="Q118" s="150"/>
      <c r="R118" s="150"/>
      <c r="S118" s="150"/>
      <c r="T118" s="146"/>
      <c r="U118" s="147">
        <v>0</v>
      </c>
      <c r="V118" s="151">
        <f t="shared" ref="V118" si="76">U118:U124</f>
        <v>0</v>
      </c>
      <c r="W118" s="146"/>
      <c r="X118" s="147">
        <v>0</v>
      </c>
      <c r="Y118" s="152">
        <f t="shared" ref="Y118" si="77">X118:X124</f>
        <v>0</v>
      </c>
      <c r="Z118" s="153">
        <f t="shared" ref="Z118" si="78">G118+O118+V118-Y118</f>
        <v>0</v>
      </c>
    </row>
    <row r="119" spans="1:26" x14ac:dyDescent="0.3">
      <c r="A119" s="154"/>
      <c r="B119" s="155"/>
      <c r="C119" s="155"/>
      <c r="D119" s="155"/>
      <c r="E119" s="156"/>
      <c r="F119" s="157"/>
      <c r="G119" s="158"/>
      <c r="H119" s="159"/>
      <c r="I119" s="160"/>
      <c r="J119" s="161"/>
      <c r="K119" s="162"/>
      <c r="L119" s="163">
        <v>0</v>
      </c>
      <c r="M119" s="163">
        <v>0</v>
      </c>
      <c r="N119" s="164">
        <f t="shared" si="71"/>
        <v>0</v>
      </c>
      <c r="O119" s="165"/>
      <c r="P119" s="166"/>
      <c r="Q119" s="166"/>
      <c r="R119" s="166"/>
      <c r="S119" s="166"/>
      <c r="T119" s="162"/>
      <c r="U119" s="163">
        <v>0</v>
      </c>
      <c r="V119" s="167"/>
      <c r="W119" s="162"/>
      <c r="X119" s="163">
        <v>0</v>
      </c>
      <c r="Y119" s="168"/>
      <c r="Z119" s="169"/>
    </row>
    <row r="120" spans="1:26" x14ac:dyDescent="0.3">
      <c r="A120" s="154"/>
      <c r="B120" s="155"/>
      <c r="C120" s="155"/>
      <c r="D120" s="155"/>
      <c r="E120" s="156"/>
      <c r="F120" s="157"/>
      <c r="G120" s="158"/>
      <c r="H120" s="159"/>
      <c r="I120" s="160"/>
      <c r="J120" s="161"/>
      <c r="K120" s="162"/>
      <c r="L120" s="163">
        <v>0</v>
      </c>
      <c r="M120" s="163">
        <v>0</v>
      </c>
      <c r="N120" s="164">
        <f t="shared" si="71"/>
        <v>0</v>
      </c>
      <c r="O120" s="165"/>
      <c r="P120" s="166"/>
      <c r="Q120" s="166"/>
      <c r="R120" s="166"/>
      <c r="S120" s="166"/>
      <c r="T120" s="162"/>
      <c r="U120" s="163">
        <v>0</v>
      </c>
      <c r="V120" s="167"/>
      <c r="W120" s="162"/>
      <c r="X120" s="163">
        <v>0</v>
      </c>
      <c r="Y120" s="168"/>
      <c r="Z120" s="169"/>
    </row>
    <row r="121" spans="1:26" x14ac:dyDescent="0.3">
      <c r="A121" s="154"/>
      <c r="B121" s="155"/>
      <c r="C121" s="155"/>
      <c r="D121" s="155"/>
      <c r="E121" s="156"/>
      <c r="F121" s="157"/>
      <c r="G121" s="158"/>
      <c r="H121" s="159"/>
      <c r="I121" s="160"/>
      <c r="J121" s="161"/>
      <c r="K121" s="162"/>
      <c r="L121" s="163">
        <v>0</v>
      </c>
      <c r="M121" s="163">
        <v>0</v>
      </c>
      <c r="N121" s="164">
        <f t="shared" si="71"/>
        <v>0</v>
      </c>
      <c r="O121" s="165"/>
      <c r="P121" s="166"/>
      <c r="Q121" s="166"/>
      <c r="R121" s="166"/>
      <c r="S121" s="166"/>
      <c r="T121" s="162"/>
      <c r="U121" s="163">
        <v>0</v>
      </c>
      <c r="V121" s="167"/>
      <c r="W121" s="162"/>
      <c r="X121" s="163">
        <v>0</v>
      </c>
      <c r="Y121" s="168"/>
      <c r="Z121" s="170"/>
    </row>
    <row r="122" spans="1:26" x14ac:dyDescent="0.3">
      <c r="A122" s="154"/>
      <c r="B122" s="155"/>
      <c r="C122" s="155"/>
      <c r="D122" s="155"/>
      <c r="E122" s="156"/>
      <c r="F122" s="157"/>
      <c r="G122" s="158"/>
      <c r="H122" s="159"/>
      <c r="I122" s="160"/>
      <c r="J122" s="161"/>
      <c r="K122" s="162"/>
      <c r="L122" s="163">
        <v>0</v>
      </c>
      <c r="M122" s="163">
        <v>0</v>
      </c>
      <c r="N122" s="164">
        <f t="shared" si="71"/>
        <v>0</v>
      </c>
      <c r="O122" s="165"/>
      <c r="P122" s="166"/>
      <c r="Q122" s="166"/>
      <c r="R122" s="166"/>
      <c r="S122" s="166"/>
      <c r="T122" s="162"/>
      <c r="U122" s="163">
        <v>0</v>
      </c>
      <c r="V122" s="167"/>
      <c r="W122" s="162"/>
      <c r="X122" s="163">
        <v>0</v>
      </c>
      <c r="Y122" s="168"/>
      <c r="Z122" s="170"/>
    </row>
    <row r="123" spans="1:26" x14ac:dyDescent="0.3">
      <c r="A123" s="154"/>
      <c r="B123" s="155"/>
      <c r="C123" s="155"/>
      <c r="D123" s="155"/>
      <c r="E123" s="156"/>
      <c r="F123" s="157"/>
      <c r="G123" s="158"/>
      <c r="H123" s="159"/>
      <c r="I123" s="160"/>
      <c r="J123" s="161"/>
      <c r="K123" s="162"/>
      <c r="L123" s="163">
        <v>0</v>
      </c>
      <c r="M123" s="163">
        <v>0</v>
      </c>
      <c r="N123" s="164">
        <f t="shared" si="71"/>
        <v>0</v>
      </c>
      <c r="O123" s="165"/>
      <c r="P123" s="166"/>
      <c r="Q123" s="166"/>
      <c r="R123" s="166"/>
      <c r="S123" s="166"/>
      <c r="T123" s="160"/>
      <c r="U123" s="163">
        <v>0</v>
      </c>
      <c r="V123" s="167"/>
      <c r="W123" s="160"/>
      <c r="X123" s="163">
        <v>0</v>
      </c>
      <c r="Y123" s="168"/>
      <c r="Z123" s="170"/>
    </row>
    <row r="124" spans="1:26" ht="15" thickBot="1" x14ac:dyDescent="0.35">
      <c r="A124" s="171"/>
      <c r="B124" s="172"/>
      <c r="C124" s="172"/>
      <c r="D124" s="172"/>
      <c r="E124" s="173"/>
      <c r="F124" s="174"/>
      <c r="G124" s="175"/>
      <c r="H124" s="176"/>
      <c r="I124" s="179"/>
      <c r="J124" s="184"/>
      <c r="K124" s="185"/>
      <c r="L124" s="180">
        <v>0</v>
      </c>
      <c r="M124" s="180">
        <v>0</v>
      </c>
      <c r="N124" s="186">
        <f t="shared" si="71"/>
        <v>0</v>
      </c>
      <c r="O124" s="177"/>
      <c r="P124" s="178"/>
      <c r="Q124" s="178"/>
      <c r="R124" s="178"/>
      <c r="S124" s="178"/>
      <c r="T124" s="179"/>
      <c r="U124" s="180">
        <v>0</v>
      </c>
      <c r="V124" s="181"/>
      <c r="W124" s="179"/>
      <c r="X124" s="180">
        <v>0</v>
      </c>
      <c r="Y124" s="182"/>
      <c r="Z124" s="183"/>
    </row>
    <row r="125" spans="1:26" x14ac:dyDescent="0.3">
      <c r="A125" s="138">
        <v>44061</v>
      </c>
      <c r="B125" s="139"/>
      <c r="C125" s="139"/>
      <c r="D125" s="139">
        <f t="shared" ref="D125" si="79">SUM(C125-B125)</f>
        <v>0</v>
      </c>
      <c r="E125" s="140">
        <f t="shared" ref="E125" si="80">SUM(D125)</f>
        <v>0</v>
      </c>
      <c r="F125" s="141">
        <v>1544</v>
      </c>
      <c r="G125" s="142">
        <f t="shared" ref="G125" si="81">PRODUCT(E125,36000)</f>
        <v>0</v>
      </c>
      <c r="H125" s="143"/>
      <c r="I125" s="144"/>
      <c r="J125" s="145"/>
      <c r="K125" s="146"/>
      <c r="L125" s="147">
        <v>0</v>
      </c>
      <c r="M125" s="147">
        <v>0</v>
      </c>
      <c r="N125" s="148">
        <f t="shared" si="71"/>
        <v>0</v>
      </c>
      <c r="O125" s="149">
        <f t="shared" ref="O125" si="82">SUM(N125:N131)</f>
        <v>0</v>
      </c>
      <c r="P125" s="150"/>
      <c r="Q125" s="150"/>
      <c r="R125" s="150"/>
      <c r="S125" s="150"/>
      <c r="T125" s="146"/>
      <c r="U125" s="147">
        <v>0</v>
      </c>
      <c r="V125" s="151">
        <f t="shared" ref="V125" si="83">U125:U131</f>
        <v>0</v>
      </c>
      <c r="W125" s="146"/>
      <c r="X125" s="147">
        <v>0</v>
      </c>
      <c r="Y125" s="152">
        <f t="shared" ref="Y125" si="84">X125:X131</f>
        <v>0</v>
      </c>
      <c r="Z125" s="153">
        <f t="shared" ref="Z125" si="85">G125+O125+V125-Y125</f>
        <v>0</v>
      </c>
    </row>
    <row r="126" spans="1:26" x14ac:dyDescent="0.3">
      <c r="A126" s="154"/>
      <c r="B126" s="155"/>
      <c r="C126" s="155"/>
      <c r="D126" s="155"/>
      <c r="E126" s="156"/>
      <c r="F126" s="157"/>
      <c r="G126" s="158"/>
      <c r="H126" s="159"/>
      <c r="I126" s="160"/>
      <c r="J126" s="161"/>
      <c r="K126" s="162"/>
      <c r="L126" s="163">
        <v>0</v>
      </c>
      <c r="M126" s="163">
        <v>0</v>
      </c>
      <c r="N126" s="164">
        <f t="shared" si="71"/>
        <v>0</v>
      </c>
      <c r="O126" s="165"/>
      <c r="P126" s="166"/>
      <c r="Q126" s="166"/>
      <c r="R126" s="166"/>
      <c r="S126" s="166"/>
      <c r="T126" s="162"/>
      <c r="U126" s="163">
        <v>0</v>
      </c>
      <c r="V126" s="167"/>
      <c r="W126" s="162"/>
      <c r="X126" s="163">
        <v>0</v>
      </c>
      <c r="Y126" s="168"/>
      <c r="Z126" s="169"/>
    </row>
    <row r="127" spans="1:26" x14ac:dyDescent="0.3">
      <c r="A127" s="154"/>
      <c r="B127" s="155"/>
      <c r="C127" s="155"/>
      <c r="D127" s="155"/>
      <c r="E127" s="156"/>
      <c r="F127" s="157"/>
      <c r="G127" s="158"/>
      <c r="H127" s="159"/>
      <c r="I127" s="160"/>
      <c r="J127" s="161"/>
      <c r="K127" s="162"/>
      <c r="L127" s="163">
        <v>0</v>
      </c>
      <c r="M127" s="163">
        <v>0</v>
      </c>
      <c r="N127" s="164">
        <f t="shared" si="71"/>
        <v>0</v>
      </c>
      <c r="O127" s="165"/>
      <c r="P127" s="166"/>
      <c r="Q127" s="166"/>
      <c r="R127" s="166"/>
      <c r="S127" s="166"/>
      <c r="T127" s="162"/>
      <c r="U127" s="163">
        <v>0</v>
      </c>
      <c r="V127" s="167"/>
      <c r="W127" s="162"/>
      <c r="X127" s="163">
        <v>0</v>
      </c>
      <c r="Y127" s="168"/>
      <c r="Z127" s="169"/>
    </row>
    <row r="128" spans="1:26" x14ac:dyDescent="0.3">
      <c r="A128" s="154"/>
      <c r="B128" s="155"/>
      <c r="C128" s="155"/>
      <c r="D128" s="155"/>
      <c r="E128" s="156"/>
      <c r="F128" s="157"/>
      <c r="G128" s="158"/>
      <c r="H128" s="159"/>
      <c r="I128" s="160"/>
      <c r="J128" s="161"/>
      <c r="K128" s="162"/>
      <c r="L128" s="163">
        <v>0</v>
      </c>
      <c r="M128" s="163">
        <v>0</v>
      </c>
      <c r="N128" s="164">
        <f t="shared" si="71"/>
        <v>0</v>
      </c>
      <c r="O128" s="165"/>
      <c r="P128" s="166"/>
      <c r="Q128" s="166"/>
      <c r="R128" s="166"/>
      <c r="S128" s="166"/>
      <c r="T128" s="162"/>
      <c r="U128" s="163">
        <v>0</v>
      </c>
      <c r="V128" s="167"/>
      <c r="W128" s="162"/>
      <c r="X128" s="163">
        <v>0</v>
      </c>
      <c r="Y128" s="168"/>
      <c r="Z128" s="170"/>
    </row>
    <row r="129" spans="1:26" x14ac:dyDescent="0.3">
      <c r="A129" s="154"/>
      <c r="B129" s="155"/>
      <c r="C129" s="155"/>
      <c r="D129" s="155"/>
      <c r="E129" s="156"/>
      <c r="F129" s="157"/>
      <c r="G129" s="158"/>
      <c r="H129" s="159"/>
      <c r="I129" s="160"/>
      <c r="J129" s="161"/>
      <c r="K129" s="162"/>
      <c r="L129" s="163">
        <v>0</v>
      </c>
      <c r="M129" s="163">
        <v>0</v>
      </c>
      <c r="N129" s="164">
        <f t="shared" si="71"/>
        <v>0</v>
      </c>
      <c r="O129" s="165"/>
      <c r="P129" s="166"/>
      <c r="Q129" s="166"/>
      <c r="R129" s="166"/>
      <c r="S129" s="166"/>
      <c r="T129" s="162"/>
      <c r="U129" s="163">
        <v>0</v>
      </c>
      <c r="V129" s="167"/>
      <c r="W129" s="162"/>
      <c r="X129" s="163">
        <v>0</v>
      </c>
      <c r="Y129" s="168"/>
      <c r="Z129" s="170"/>
    </row>
    <row r="130" spans="1:26" x14ac:dyDescent="0.3">
      <c r="A130" s="154"/>
      <c r="B130" s="155"/>
      <c r="C130" s="155"/>
      <c r="D130" s="155"/>
      <c r="E130" s="156"/>
      <c r="F130" s="157"/>
      <c r="G130" s="158"/>
      <c r="H130" s="159"/>
      <c r="I130" s="160"/>
      <c r="J130" s="161"/>
      <c r="K130" s="162"/>
      <c r="L130" s="163">
        <v>0</v>
      </c>
      <c r="M130" s="163">
        <v>0</v>
      </c>
      <c r="N130" s="164">
        <f t="shared" si="71"/>
        <v>0</v>
      </c>
      <c r="O130" s="165"/>
      <c r="P130" s="166"/>
      <c r="Q130" s="166"/>
      <c r="R130" s="166"/>
      <c r="S130" s="166"/>
      <c r="T130" s="160"/>
      <c r="U130" s="163">
        <v>0</v>
      </c>
      <c r="V130" s="167"/>
      <c r="W130" s="160"/>
      <c r="X130" s="163">
        <v>0</v>
      </c>
      <c r="Y130" s="168"/>
      <c r="Z130" s="170"/>
    </row>
    <row r="131" spans="1:26" ht="15" thickBot="1" x14ac:dyDescent="0.35">
      <c r="A131" s="171"/>
      <c r="B131" s="172"/>
      <c r="C131" s="172"/>
      <c r="D131" s="172"/>
      <c r="E131" s="173"/>
      <c r="F131" s="174"/>
      <c r="G131" s="175"/>
      <c r="H131" s="176"/>
      <c r="I131" s="179"/>
      <c r="J131" s="184"/>
      <c r="K131" s="185"/>
      <c r="L131" s="180">
        <v>0</v>
      </c>
      <c r="M131" s="180">
        <v>0</v>
      </c>
      <c r="N131" s="186">
        <f t="shared" si="71"/>
        <v>0</v>
      </c>
      <c r="O131" s="177"/>
      <c r="P131" s="178"/>
      <c r="Q131" s="178"/>
      <c r="R131" s="178"/>
      <c r="S131" s="178"/>
      <c r="T131" s="179"/>
      <c r="U131" s="180">
        <v>0</v>
      </c>
      <c r="V131" s="181"/>
      <c r="W131" s="179"/>
      <c r="X131" s="180">
        <v>0</v>
      </c>
      <c r="Y131" s="182"/>
      <c r="Z131" s="183"/>
    </row>
    <row r="132" spans="1:26" x14ac:dyDescent="0.3">
      <c r="A132" s="138">
        <v>44062</v>
      </c>
      <c r="B132" s="139"/>
      <c r="C132" s="139"/>
      <c r="D132" s="139">
        <f t="shared" ref="D132" si="86">SUM(C132-B132)</f>
        <v>0</v>
      </c>
      <c r="E132" s="140">
        <f t="shared" ref="E132" si="87">SUM(D132)</f>
        <v>0</v>
      </c>
      <c r="F132" s="141">
        <v>1545</v>
      </c>
      <c r="G132" s="142">
        <f t="shared" ref="G132" si="88">PRODUCT(E132,36000)</f>
        <v>0</v>
      </c>
      <c r="H132" s="143"/>
      <c r="I132" s="144"/>
      <c r="J132" s="145"/>
      <c r="K132" s="146"/>
      <c r="L132" s="147">
        <v>0</v>
      </c>
      <c r="M132" s="147">
        <v>0</v>
      </c>
      <c r="N132" s="148">
        <f t="shared" si="71"/>
        <v>0</v>
      </c>
      <c r="O132" s="149">
        <f t="shared" ref="O132" si="89">SUM(N132:N138)</f>
        <v>0</v>
      </c>
      <c r="P132" s="150"/>
      <c r="Q132" s="150"/>
      <c r="R132" s="150"/>
      <c r="S132" s="150"/>
      <c r="T132" s="146"/>
      <c r="U132" s="147">
        <v>0</v>
      </c>
      <c r="V132" s="151">
        <f t="shared" ref="V132" si="90">U132:U138</f>
        <v>0</v>
      </c>
      <c r="W132" s="146"/>
      <c r="X132" s="147">
        <v>0</v>
      </c>
      <c r="Y132" s="152">
        <f t="shared" ref="Y132" si="91">X132:X138</f>
        <v>0</v>
      </c>
      <c r="Z132" s="153">
        <f t="shared" ref="Z132" si="92">G132+O132+V132-Y132</f>
        <v>0</v>
      </c>
    </row>
    <row r="133" spans="1:26" x14ac:dyDescent="0.3">
      <c r="A133" s="154"/>
      <c r="B133" s="155"/>
      <c r="C133" s="155"/>
      <c r="D133" s="155"/>
      <c r="E133" s="156"/>
      <c r="F133" s="157"/>
      <c r="G133" s="158"/>
      <c r="H133" s="159"/>
      <c r="I133" s="160"/>
      <c r="J133" s="161"/>
      <c r="K133" s="162"/>
      <c r="L133" s="163">
        <v>0</v>
      </c>
      <c r="M133" s="163">
        <v>0</v>
      </c>
      <c r="N133" s="164">
        <f t="shared" si="71"/>
        <v>0</v>
      </c>
      <c r="O133" s="165"/>
      <c r="P133" s="166"/>
      <c r="Q133" s="166"/>
      <c r="R133" s="166"/>
      <c r="S133" s="166"/>
      <c r="T133" s="162"/>
      <c r="U133" s="163">
        <v>0</v>
      </c>
      <c r="V133" s="167"/>
      <c r="W133" s="162"/>
      <c r="X133" s="163">
        <v>0</v>
      </c>
      <c r="Y133" s="168"/>
      <c r="Z133" s="169"/>
    </row>
    <row r="134" spans="1:26" x14ac:dyDescent="0.3">
      <c r="A134" s="154"/>
      <c r="B134" s="155"/>
      <c r="C134" s="155"/>
      <c r="D134" s="155"/>
      <c r="E134" s="156"/>
      <c r="F134" s="157"/>
      <c r="G134" s="158"/>
      <c r="H134" s="159"/>
      <c r="I134" s="160"/>
      <c r="J134" s="161"/>
      <c r="K134" s="162"/>
      <c r="L134" s="163">
        <v>0</v>
      </c>
      <c r="M134" s="163">
        <v>0</v>
      </c>
      <c r="N134" s="164">
        <f t="shared" si="71"/>
        <v>0</v>
      </c>
      <c r="O134" s="165"/>
      <c r="P134" s="166"/>
      <c r="Q134" s="166"/>
      <c r="R134" s="166"/>
      <c r="S134" s="166"/>
      <c r="T134" s="162"/>
      <c r="U134" s="163">
        <v>0</v>
      </c>
      <c r="V134" s="167"/>
      <c r="W134" s="162"/>
      <c r="X134" s="163">
        <v>0</v>
      </c>
      <c r="Y134" s="168"/>
      <c r="Z134" s="169"/>
    </row>
    <row r="135" spans="1:26" x14ac:dyDescent="0.3">
      <c r="A135" s="154"/>
      <c r="B135" s="155"/>
      <c r="C135" s="155"/>
      <c r="D135" s="155"/>
      <c r="E135" s="156"/>
      <c r="F135" s="157"/>
      <c r="G135" s="158"/>
      <c r="H135" s="159"/>
      <c r="I135" s="160"/>
      <c r="J135" s="161"/>
      <c r="K135" s="162"/>
      <c r="L135" s="163">
        <v>0</v>
      </c>
      <c r="M135" s="163">
        <v>0</v>
      </c>
      <c r="N135" s="164">
        <f t="shared" si="71"/>
        <v>0</v>
      </c>
      <c r="O135" s="165"/>
      <c r="P135" s="166"/>
      <c r="Q135" s="166"/>
      <c r="R135" s="166"/>
      <c r="S135" s="166"/>
      <c r="T135" s="162"/>
      <c r="U135" s="163">
        <v>0</v>
      </c>
      <c r="V135" s="167"/>
      <c r="W135" s="162"/>
      <c r="X135" s="163">
        <v>0</v>
      </c>
      <c r="Y135" s="168"/>
      <c r="Z135" s="170"/>
    </row>
    <row r="136" spans="1:26" x14ac:dyDescent="0.3">
      <c r="A136" s="154"/>
      <c r="B136" s="155"/>
      <c r="C136" s="155"/>
      <c r="D136" s="155"/>
      <c r="E136" s="156"/>
      <c r="F136" s="157"/>
      <c r="G136" s="158"/>
      <c r="H136" s="159"/>
      <c r="I136" s="160"/>
      <c r="J136" s="161"/>
      <c r="K136" s="162"/>
      <c r="L136" s="163">
        <v>0</v>
      </c>
      <c r="M136" s="163">
        <v>0</v>
      </c>
      <c r="N136" s="164">
        <f t="shared" si="71"/>
        <v>0</v>
      </c>
      <c r="O136" s="165"/>
      <c r="P136" s="166"/>
      <c r="Q136" s="166"/>
      <c r="R136" s="166"/>
      <c r="S136" s="166"/>
      <c r="T136" s="162"/>
      <c r="U136" s="163">
        <v>0</v>
      </c>
      <c r="V136" s="167"/>
      <c r="W136" s="162"/>
      <c r="X136" s="163">
        <v>0</v>
      </c>
      <c r="Y136" s="168"/>
      <c r="Z136" s="170"/>
    </row>
    <row r="137" spans="1:26" x14ac:dyDescent="0.3">
      <c r="A137" s="154"/>
      <c r="B137" s="155"/>
      <c r="C137" s="155"/>
      <c r="D137" s="155"/>
      <c r="E137" s="156"/>
      <c r="F137" s="157"/>
      <c r="G137" s="158"/>
      <c r="H137" s="159"/>
      <c r="I137" s="160"/>
      <c r="J137" s="161"/>
      <c r="K137" s="162"/>
      <c r="L137" s="163">
        <v>0</v>
      </c>
      <c r="M137" s="163">
        <v>0</v>
      </c>
      <c r="N137" s="164">
        <f t="shared" si="71"/>
        <v>0</v>
      </c>
      <c r="O137" s="165"/>
      <c r="P137" s="166"/>
      <c r="Q137" s="166"/>
      <c r="R137" s="166"/>
      <c r="S137" s="166"/>
      <c r="T137" s="160"/>
      <c r="U137" s="163">
        <v>0</v>
      </c>
      <c r="V137" s="167"/>
      <c r="W137" s="160"/>
      <c r="X137" s="163">
        <v>0</v>
      </c>
      <c r="Y137" s="168"/>
      <c r="Z137" s="170"/>
    </row>
    <row r="138" spans="1:26" ht="15" thickBot="1" x14ac:dyDescent="0.35">
      <c r="A138" s="171"/>
      <c r="B138" s="172"/>
      <c r="C138" s="172"/>
      <c r="D138" s="172"/>
      <c r="E138" s="173"/>
      <c r="F138" s="174"/>
      <c r="G138" s="175"/>
      <c r="H138" s="176"/>
      <c r="I138" s="179"/>
      <c r="J138" s="184"/>
      <c r="K138" s="185"/>
      <c r="L138" s="180">
        <v>0</v>
      </c>
      <c r="M138" s="180">
        <v>0</v>
      </c>
      <c r="N138" s="186">
        <f t="shared" si="71"/>
        <v>0</v>
      </c>
      <c r="O138" s="177"/>
      <c r="P138" s="178"/>
      <c r="Q138" s="178"/>
      <c r="R138" s="178"/>
      <c r="S138" s="178"/>
      <c r="T138" s="179"/>
      <c r="U138" s="180">
        <v>0</v>
      </c>
      <c r="V138" s="181"/>
      <c r="W138" s="179"/>
      <c r="X138" s="180">
        <v>0</v>
      </c>
      <c r="Y138" s="182"/>
      <c r="Z138" s="183"/>
    </row>
    <row r="139" spans="1:26" x14ac:dyDescent="0.3">
      <c r="A139" s="138">
        <v>44063</v>
      </c>
      <c r="B139" s="139"/>
      <c r="C139" s="139"/>
      <c r="D139" s="139">
        <f t="shared" ref="D139" si="93">SUM(C139-B139)</f>
        <v>0</v>
      </c>
      <c r="E139" s="140">
        <f t="shared" ref="E139" si="94">SUM(D139)</f>
        <v>0</v>
      </c>
      <c r="F139" s="141">
        <v>1546</v>
      </c>
      <c r="G139" s="142">
        <f t="shared" ref="G139" si="95">PRODUCT(E139,36000)</f>
        <v>0</v>
      </c>
      <c r="H139" s="143"/>
      <c r="I139" s="144"/>
      <c r="J139" s="145"/>
      <c r="K139" s="146"/>
      <c r="L139" s="147">
        <v>0</v>
      </c>
      <c r="M139" s="147">
        <v>0</v>
      </c>
      <c r="N139" s="148">
        <f t="shared" si="71"/>
        <v>0</v>
      </c>
      <c r="O139" s="149">
        <f t="shared" ref="O139" si="96">SUM(N139:N145)</f>
        <v>0</v>
      </c>
      <c r="P139" s="150"/>
      <c r="Q139" s="150"/>
      <c r="R139" s="150"/>
      <c r="S139" s="150"/>
      <c r="T139" s="146"/>
      <c r="U139" s="147">
        <v>0</v>
      </c>
      <c r="V139" s="151">
        <f t="shared" ref="V139" si="97">U139:U145</f>
        <v>0</v>
      </c>
      <c r="W139" s="146"/>
      <c r="X139" s="147">
        <v>0</v>
      </c>
      <c r="Y139" s="152">
        <f t="shared" ref="Y139" si="98">X139:X145</f>
        <v>0</v>
      </c>
      <c r="Z139" s="153">
        <f t="shared" ref="Z139" si="99">G139+O139+V139-Y139</f>
        <v>0</v>
      </c>
    </row>
    <row r="140" spans="1:26" x14ac:dyDescent="0.3">
      <c r="A140" s="154"/>
      <c r="B140" s="155"/>
      <c r="C140" s="155"/>
      <c r="D140" s="155"/>
      <c r="E140" s="156"/>
      <c r="F140" s="157"/>
      <c r="G140" s="158"/>
      <c r="H140" s="159"/>
      <c r="I140" s="160"/>
      <c r="J140" s="161"/>
      <c r="K140" s="162"/>
      <c r="L140" s="163">
        <v>0</v>
      </c>
      <c r="M140" s="163">
        <v>0</v>
      </c>
      <c r="N140" s="164">
        <f t="shared" si="71"/>
        <v>0</v>
      </c>
      <c r="O140" s="165"/>
      <c r="P140" s="166"/>
      <c r="Q140" s="166"/>
      <c r="R140" s="166"/>
      <c r="S140" s="166"/>
      <c r="T140" s="162"/>
      <c r="U140" s="163">
        <v>0</v>
      </c>
      <c r="V140" s="167"/>
      <c r="W140" s="162"/>
      <c r="X140" s="163">
        <v>0</v>
      </c>
      <c r="Y140" s="168"/>
      <c r="Z140" s="169"/>
    </row>
    <row r="141" spans="1:26" x14ac:dyDescent="0.3">
      <c r="A141" s="154"/>
      <c r="B141" s="155"/>
      <c r="C141" s="155"/>
      <c r="D141" s="155"/>
      <c r="E141" s="156"/>
      <c r="F141" s="157"/>
      <c r="G141" s="158"/>
      <c r="H141" s="159"/>
      <c r="I141" s="160"/>
      <c r="J141" s="161"/>
      <c r="K141" s="162"/>
      <c r="L141" s="163">
        <v>0</v>
      </c>
      <c r="M141" s="163">
        <v>0</v>
      </c>
      <c r="N141" s="164">
        <f t="shared" si="71"/>
        <v>0</v>
      </c>
      <c r="O141" s="165"/>
      <c r="P141" s="166"/>
      <c r="Q141" s="166"/>
      <c r="R141" s="166"/>
      <c r="S141" s="166"/>
      <c r="T141" s="162"/>
      <c r="U141" s="163">
        <v>0</v>
      </c>
      <c r="V141" s="167"/>
      <c r="W141" s="162"/>
      <c r="X141" s="163">
        <v>0</v>
      </c>
      <c r="Y141" s="168"/>
      <c r="Z141" s="169"/>
    </row>
    <row r="142" spans="1:26" x14ac:dyDescent="0.3">
      <c r="A142" s="154"/>
      <c r="B142" s="155"/>
      <c r="C142" s="155"/>
      <c r="D142" s="155"/>
      <c r="E142" s="156"/>
      <c r="F142" s="157"/>
      <c r="G142" s="158"/>
      <c r="H142" s="159"/>
      <c r="I142" s="160"/>
      <c r="J142" s="161"/>
      <c r="K142" s="162"/>
      <c r="L142" s="163">
        <v>0</v>
      </c>
      <c r="M142" s="163">
        <v>0</v>
      </c>
      <c r="N142" s="164">
        <f t="shared" si="71"/>
        <v>0</v>
      </c>
      <c r="O142" s="165"/>
      <c r="P142" s="166"/>
      <c r="Q142" s="166"/>
      <c r="R142" s="166"/>
      <c r="S142" s="166"/>
      <c r="T142" s="162"/>
      <c r="U142" s="163">
        <v>0</v>
      </c>
      <c r="V142" s="167"/>
      <c r="W142" s="162"/>
      <c r="X142" s="163">
        <v>0</v>
      </c>
      <c r="Y142" s="168"/>
      <c r="Z142" s="170"/>
    </row>
    <row r="143" spans="1:26" x14ac:dyDescent="0.3">
      <c r="A143" s="154"/>
      <c r="B143" s="155"/>
      <c r="C143" s="155"/>
      <c r="D143" s="155"/>
      <c r="E143" s="156"/>
      <c r="F143" s="157"/>
      <c r="G143" s="158"/>
      <c r="H143" s="159"/>
      <c r="I143" s="160"/>
      <c r="J143" s="161"/>
      <c r="K143" s="162"/>
      <c r="L143" s="163">
        <v>0</v>
      </c>
      <c r="M143" s="163">
        <v>0</v>
      </c>
      <c r="N143" s="164">
        <f t="shared" si="71"/>
        <v>0</v>
      </c>
      <c r="O143" s="165"/>
      <c r="P143" s="166"/>
      <c r="Q143" s="166"/>
      <c r="R143" s="166"/>
      <c r="S143" s="166"/>
      <c r="T143" s="162"/>
      <c r="U143" s="163">
        <v>0</v>
      </c>
      <c r="V143" s="167"/>
      <c r="W143" s="162"/>
      <c r="X143" s="163">
        <v>0</v>
      </c>
      <c r="Y143" s="168"/>
      <c r="Z143" s="170"/>
    </row>
    <row r="144" spans="1:26" x14ac:dyDescent="0.3">
      <c r="A144" s="154"/>
      <c r="B144" s="155"/>
      <c r="C144" s="155"/>
      <c r="D144" s="155"/>
      <c r="E144" s="156"/>
      <c r="F144" s="157"/>
      <c r="G144" s="158"/>
      <c r="H144" s="159"/>
      <c r="I144" s="160"/>
      <c r="J144" s="161"/>
      <c r="K144" s="162"/>
      <c r="L144" s="163">
        <v>0</v>
      </c>
      <c r="M144" s="163">
        <v>0</v>
      </c>
      <c r="N144" s="164">
        <f t="shared" si="71"/>
        <v>0</v>
      </c>
      <c r="O144" s="165"/>
      <c r="P144" s="166"/>
      <c r="Q144" s="166"/>
      <c r="R144" s="166"/>
      <c r="S144" s="166"/>
      <c r="T144" s="160"/>
      <c r="U144" s="163">
        <v>0</v>
      </c>
      <c r="V144" s="167"/>
      <c r="W144" s="160"/>
      <c r="X144" s="163">
        <v>0</v>
      </c>
      <c r="Y144" s="168"/>
      <c r="Z144" s="170"/>
    </row>
    <row r="145" spans="1:26" ht="15" thickBot="1" x14ac:dyDescent="0.35">
      <c r="A145" s="171"/>
      <c r="B145" s="172"/>
      <c r="C145" s="172"/>
      <c r="D145" s="172"/>
      <c r="E145" s="173"/>
      <c r="F145" s="174"/>
      <c r="G145" s="175"/>
      <c r="H145" s="176"/>
      <c r="I145" s="179"/>
      <c r="J145" s="184"/>
      <c r="K145" s="185"/>
      <c r="L145" s="180">
        <v>0</v>
      </c>
      <c r="M145" s="180">
        <v>0</v>
      </c>
      <c r="N145" s="186">
        <f t="shared" si="71"/>
        <v>0</v>
      </c>
      <c r="O145" s="177"/>
      <c r="P145" s="178"/>
      <c r="Q145" s="178"/>
      <c r="R145" s="178"/>
      <c r="S145" s="178"/>
      <c r="T145" s="179"/>
      <c r="U145" s="180">
        <v>0</v>
      </c>
      <c r="V145" s="181"/>
      <c r="W145" s="179"/>
      <c r="X145" s="180">
        <v>0</v>
      </c>
      <c r="Y145" s="182"/>
      <c r="Z145" s="183"/>
    </row>
    <row r="146" spans="1:26" x14ac:dyDescent="0.3">
      <c r="A146" s="138">
        <v>44064</v>
      </c>
      <c r="B146" s="139"/>
      <c r="C146" s="139"/>
      <c r="D146" s="139">
        <f t="shared" ref="D146" si="100">SUM(C146-B146)</f>
        <v>0</v>
      </c>
      <c r="E146" s="140">
        <f t="shared" ref="E146" si="101">SUM(D146)</f>
        <v>0</v>
      </c>
      <c r="F146" s="141">
        <v>1547</v>
      </c>
      <c r="G146" s="142">
        <f t="shared" ref="G146" si="102">PRODUCT(E146,36000)</f>
        <v>0</v>
      </c>
      <c r="H146" s="143"/>
      <c r="I146" s="144"/>
      <c r="J146" s="145"/>
      <c r="K146" s="146"/>
      <c r="L146" s="147">
        <v>0</v>
      </c>
      <c r="M146" s="147">
        <v>0</v>
      </c>
      <c r="N146" s="148">
        <f t="shared" si="71"/>
        <v>0</v>
      </c>
      <c r="O146" s="149">
        <f t="shared" ref="O146" si="103">SUM(N146:N152)</f>
        <v>0</v>
      </c>
      <c r="P146" s="150"/>
      <c r="Q146" s="150"/>
      <c r="R146" s="150"/>
      <c r="S146" s="150"/>
      <c r="T146" s="146"/>
      <c r="U146" s="147">
        <v>0</v>
      </c>
      <c r="V146" s="151">
        <f t="shared" ref="V146" si="104">U146:U152</f>
        <v>0</v>
      </c>
      <c r="W146" s="146"/>
      <c r="X146" s="147">
        <v>0</v>
      </c>
      <c r="Y146" s="152">
        <f t="shared" ref="Y146" si="105">X146:X152</f>
        <v>0</v>
      </c>
      <c r="Z146" s="153">
        <f t="shared" ref="Z146" si="106">G146+O146+V146-Y146</f>
        <v>0</v>
      </c>
    </row>
    <row r="147" spans="1:26" x14ac:dyDescent="0.3">
      <c r="A147" s="154"/>
      <c r="B147" s="155"/>
      <c r="C147" s="155"/>
      <c r="D147" s="155"/>
      <c r="E147" s="156"/>
      <c r="F147" s="157"/>
      <c r="G147" s="158"/>
      <c r="H147" s="159"/>
      <c r="I147" s="160"/>
      <c r="J147" s="161"/>
      <c r="K147" s="162"/>
      <c r="L147" s="163">
        <v>0</v>
      </c>
      <c r="M147" s="163">
        <v>0</v>
      </c>
      <c r="N147" s="164">
        <f t="shared" si="71"/>
        <v>0</v>
      </c>
      <c r="O147" s="165"/>
      <c r="P147" s="166"/>
      <c r="Q147" s="166"/>
      <c r="R147" s="166"/>
      <c r="S147" s="166"/>
      <c r="T147" s="162"/>
      <c r="U147" s="163">
        <v>0</v>
      </c>
      <c r="V147" s="167"/>
      <c r="W147" s="162"/>
      <c r="X147" s="163">
        <v>0</v>
      </c>
      <c r="Y147" s="168"/>
      <c r="Z147" s="169"/>
    </row>
    <row r="148" spans="1:26" x14ac:dyDescent="0.3">
      <c r="A148" s="154"/>
      <c r="B148" s="155"/>
      <c r="C148" s="155"/>
      <c r="D148" s="155"/>
      <c r="E148" s="156"/>
      <c r="F148" s="157"/>
      <c r="G148" s="158"/>
      <c r="H148" s="159"/>
      <c r="I148" s="160"/>
      <c r="J148" s="161"/>
      <c r="K148" s="162"/>
      <c r="L148" s="163">
        <v>0</v>
      </c>
      <c r="M148" s="163">
        <v>0</v>
      </c>
      <c r="N148" s="164">
        <f t="shared" si="71"/>
        <v>0</v>
      </c>
      <c r="O148" s="165"/>
      <c r="P148" s="166"/>
      <c r="Q148" s="166"/>
      <c r="R148" s="166"/>
      <c r="S148" s="166"/>
      <c r="T148" s="162"/>
      <c r="U148" s="163">
        <v>0</v>
      </c>
      <c r="V148" s="167"/>
      <c r="W148" s="162"/>
      <c r="X148" s="163">
        <v>0</v>
      </c>
      <c r="Y148" s="168"/>
      <c r="Z148" s="169"/>
    </row>
    <row r="149" spans="1:26" x14ac:dyDescent="0.3">
      <c r="A149" s="154"/>
      <c r="B149" s="155"/>
      <c r="C149" s="155"/>
      <c r="D149" s="155"/>
      <c r="E149" s="156"/>
      <c r="F149" s="157"/>
      <c r="G149" s="158"/>
      <c r="H149" s="159"/>
      <c r="I149" s="160"/>
      <c r="J149" s="161"/>
      <c r="K149" s="162"/>
      <c r="L149" s="163">
        <v>0</v>
      </c>
      <c r="M149" s="163">
        <v>0</v>
      </c>
      <c r="N149" s="164">
        <f t="shared" si="71"/>
        <v>0</v>
      </c>
      <c r="O149" s="165"/>
      <c r="P149" s="166"/>
      <c r="Q149" s="166"/>
      <c r="R149" s="166"/>
      <c r="S149" s="166"/>
      <c r="T149" s="162"/>
      <c r="U149" s="163">
        <v>0</v>
      </c>
      <c r="V149" s="167"/>
      <c r="W149" s="162"/>
      <c r="X149" s="163">
        <v>0</v>
      </c>
      <c r="Y149" s="168"/>
      <c r="Z149" s="170"/>
    </row>
    <row r="150" spans="1:26" x14ac:dyDescent="0.3">
      <c r="A150" s="154"/>
      <c r="B150" s="155"/>
      <c r="C150" s="155"/>
      <c r="D150" s="155"/>
      <c r="E150" s="156"/>
      <c r="F150" s="157"/>
      <c r="G150" s="158"/>
      <c r="H150" s="159"/>
      <c r="I150" s="160"/>
      <c r="J150" s="161"/>
      <c r="K150" s="162"/>
      <c r="L150" s="163">
        <v>0</v>
      </c>
      <c r="M150" s="163">
        <v>0</v>
      </c>
      <c r="N150" s="164">
        <f t="shared" si="71"/>
        <v>0</v>
      </c>
      <c r="O150" s="165"/>
      <c r="P150" s="166"/>
      <c r="Q150" s="166"/>
      <c r="R150" s="166"/>
      <c r="S150" s="166"/>
      <c r="T150" s="162"/>
      <c r="U150" s="163">
        <v>0</v>
      </c>
      <c r="V150" s="167"/>
      <c r="W150" s="162"/>
      <c r="X150" s="163">
        <v>0</v>
      </c>
      <c r="Y150" s="168"/>
      <c r="Z150" s="170"/>
    </row>
    <row r="151" spans="1:26" x14ac:dyDescent="0.3">
      <c r="A151" s="154"/>
      <c r="B151" s="155"/>
      <c r="C151" s="155"/>
      <c r="D151" s="155"/>
      <c r="E151" s="156"/>
      <c r="F151" s="157"/>
      <c r="G151" s="158"/>
      <c r="H151" s="159"/>
      <c r="I151" s="160"/>
      <c r="J151" s="161"/>
      <c r="K151" s="162"/>
      <c r="L151" s="163">
        <v>0</v>
      </c>
      <c r="M151" s="163">
        <v>0</v>
      </c>
      <c r="N151" s="164">
        <f t="shared" si="71"/>
        <v>0</v>
      </c>
      <c r="O151" s="165"/>
      <c r="P151" s="166"/>
      <c r="Q151" s="166"/>
      <c r="R151" s="166"/>
      <c r="S151" s="166"/>
      <c r="T151" s="160"/>
      <c r="U151" s="163">
        <v>0</v>
      </c>
      <c r="V151" s="167"/>
      <c r="W151" s="160"/>
      <c r="X151" s="163">
        <v>0</v>
      </c>
      <c r="Y151" s="168"/>
      <c r="Z151" s="170"/>
    </row>
    <row r="152" spans="1:26" ht="15" thickBot="1" x14ac:dyDescent="0.35">
      <c r="A152" s="171"/>
      <c r="B152" s="172"/>
      <c r="C152" s="172"/>
      <c r="D152" s="172"/>
      <c r="E152" s="173"/>
      <c r="F152" s="174"/>
      <c r="G152" s="175"/>
      <c r="H152" s="176"/>
      <c r="I152" s="179"/>
      <c r="J152" s="184"/>
      <c r="K152" s="185"/>
      <c r="L152" s="180">
        <v>0</v>
      </c>
      <c r="M152" s="180">
        <v>0</v>
      </c>
      <c r="N152" s="186">
        <f t="shared" si="71"/>
        <v>0</v>
      </c>
      <c r="O152" s="177"/>
      <c r="P152" s="178"/>
      <c r="Q152" s="178"/>
      <c r="R152" s="178"/>
      <c r="S152" s="178"/>
      <c r="T152" s="179"/>
      <c r="U152" s="180">
        <v>0</v>
      </c>
      <c r="V152" s="181"/>
      <c r="W152" s="179"/>
      <c r="X152" s="180">
        <v>0</v>
      </c>
      <c r="Y152" s="182"/>
      <c r="Z152" s="183"/>
    </row>
    <row r="153" spans="1:26" ht="24" customHeight="1" thickBot="1" x14ac:dyDescent="0.35">
      <c r="A153" s="187" t="s">
        <v>23</v>
      </c>
      <c r="B153" s="188"/>
      <c r="C153" s="188"/>
      <c r="D153" s="188"/>
      <c r="E153" s="189"/>
      <c r="F153" s="190"/>
      <c r="G153" s="191">
        <f>SUM(G132:G152)</f>
        <v>0</v>
      </c>
      <c r="H153" s="192"/>
      <c r="I153" s="193"/>
      <c r="J153" s="194"/>
      <c r="K153" s="193"/>
      <c r="L153" s="195"/>
      <c r="M153" s="195"/>
      <c r="N153" s="196"/>
      <c r="O153" s="197">
        <f>SUM(O132:O152)</f>
        <v>0</v>
      </c>
      <c r="P153" s="193"/>
      <c r="Q153" s="193"/>
      <c r="R153" s="193"/>
      <c r="S153" s="193"/>
      <c r="T153" s="193"/>
      <c r="U153" s="195"/>
      <c r="V153" s="198"/>
      <c r="W153" s="193"/>
      <c r="X153" s="195"/>
      <c r="Y153" s="199"/>
      <c r="Z153" s="197">
        <f>SUM(Z132:Z152)</f>
        <v>0</v>
      </c>
    </row>
    <row r="154" spans="1:26" x14ac:dyDescent="0.3">
      <c r="A154" s="138">
        <v>44065</v>
      </c>
      <c r="B154" s="139"/>
      <c r="C154" s="139"/>
      <c r="D154" s="139">
        <f>SUM(C154-B154)</f>
        <v>0</v>
      </c>
      <c r="E154" s="140">
        <f>SUM(D154)</f>
        <v>0</v>
      </c>
      <c r="F154" s="141">
        <v>1548</v>
      </c>
      <c r="G154" s="142">
        <f>PRODUCT(E154,36000)</f>
        <v>0</v>
      </c>
      <c r="H154" s="143"/>
      <c r="I154" s="144"/>
      <c r="J154" s="145"/>
      <c r="K154" s="146"/>
      <c r="L154" s="147">
        <v>0</v>
      </c>
      <c r="M154" s="147">
        <v>0</v>
      </c>
      <c r="N154" s="148">
        <f>SUMPRODUCT(L154,M154)</f>
        <v>0</v>
      </c>
      <c r="O154" s="149">
        <f>SUM(N154:N160)</f>
        <v>0</v>
      </c>
      <c r="P154" s="150"/>
      <c r="Q154" s="150"/>
      <c r="R154" s="150"/>
      <c r="S154" s="150"/>
      <c r="T154" s="146"/>
      <c r="U154" s="147">
        <v>0</v>
      </c>
      <c r="V154" s="151">
        <f>U154:U160</f>
        <v>0</v>
      </c>
      <c r="W154" s="146"/>
      <c r="X154" s="147">
        <v>0</v>
      </c>
      <c r="Y154" s="152">
        <f>X154:X160</f>
        <v>0</v>
      </c>
      <c r="Z154" s="153">
        <f>G154+O154+V154-Y154</f>
        <v>0</v>
      </c>
    </row>
    <row r="155" spans="1:26" x14ac:dyDescent="0.3">
      <c r="A155" s="154"/>
      <c r="B155" s="155"/>
      <c r="C155" s="155"/>
      <c r="D155" s="155"/>
      <c r="E155" s="156"/>
      <c r="F155" s="157"/>
      <c r="G155" s="158"/>
      <c r="H155" s="159"/>
      <c r="I155" s="160"/>
      <c r="J155" s="161"/>
      <c r="K155" s="162"/>
      <c r="L155" s="163">
        <v>0</v>
      </c>
      <c r="M155" s="163">
        <v>0</v>
      </c>
      <c r="N155" s="164">
        <f>SUMPRODUCT(L155,M155)</f>
        <v>0</v>
      </c>
      <c r="O155" s="165"/>
      <c r="P155" s="166"/>
      <c r="Q155" s="166"/>
      <c r="R155" s="166"/>
      <c r="S155" s="166"/>
      <c r="T155" s="162"/>
      <c r="U155" s="163">
        <v>0</v>
      </c>
      <c r="V155" s="167"/>
      <c r="W155" s="162"/>
      <c r="X155" s="163">
        <v>0</v>
      </c>
      <c r="Y155" s="168"/>
      <c r="Z155" s="169"/>
    </row>
    <row r="156" spans="1:26" x14ac:dyDescent="0.3">
      <c r="A156" s="154"/>
      <c r="B156" s="155"/>
      <c r="C156" s="155"/>
      <c r="D156" s="155"/>
      <c r="E156" s="156"/>
      <c r="F156" s="157"/>
      <c r="G156" s="158"/>
      <c r="H156" s="159"/>
      <c r="I156" s="160"/>
      <c r="J156" s="161"/>
      <c r="K156" s="162"/>
      <c r="L156" s="163">
        <v>0</v>
      </c>
      <c r="M156" s="163">
        <v>0</v>
      </c>
      <c r="N156" s="164">
        <f>SUMPRODUCT(L156,M156)</f>
        <v>0</v>
      </c>
      <c r="O156" s="165"/>
      <c r="P156" s="166"/>
      <c r="Q156" s="166"/>
      <c r="R156" s="166"/>
      <c r="S156" s="166"/>
      <c r="T156" s="162"/>
      <c r="U156" s="163">
        <v>0</v>
      </c>
      <c r="V156" s="167"/>
      <c r="W156" s="162"/>
      <c r="X156" s="163">
        <v>0</v>
      </c>
      <c r="Y156" s="168"/>
      <c r="Z156" s="169"/>
    </row>
    <row r="157" spans="1:26" x14ac:dyDescent="0.3">
      <c r="A157" s="154"/>
      <c r="B157" s="155"/>
      <c r="C157" s="155"/>
      <c r="D157" s="155"/>
      <c r="E157" s="156"/>
      <c r="F157" s="157"/>
      <c r="G157" s="158"/>
      <c r="H157" s="159"/>
      <c r="I157" s="160"/>
      <c r="J157" s="161"/>
      <c r="K157" s="162"/>
      <c r="L157" s="163">
        <v>0</v>
      </c>
      <c r="M157" s="163">
        <v>0</v>
      </c>
      <c r="N157" s="164">
        <f>SUMPRODUCT(L157,M157)</f>
        <v>0</v>
      </c>
      <c r="O157" s="165"/>
      <c r="P157" s="166"/>
      <c r="Q157" s="166"/>
      <c r="R157" s="166"/>
      <c r="S157" s="166"/>
      <c r="T157" s="162"/>
      <c r="U157" s="163">
        <v>0</v>
      </c>
      <c r="V157" s="167"/>
      <c r="W157" s="162"/>
      <c r="X157" s="163">
        <v>0</v>
      </c>
      <c r="Y157" s="168"/>
      <c r="Z157" s="170"/>
    </row>
    <row r="158" spans="1:26" x14ac:dyDescent="0.3">
      <c r="A158" s="154"/>
      <c r="B158" s="155"/>
      <c r="C158" s="155"/>
      <c r="D158" s="155"/>
      <c r="E158" s="156"/>
      <c r="F158" s="157"/>
      <c r="G158" s="158"/>
      <c r="H158" s="159"/>
      <c r="I158" s="160"/>
      <c r="J158" s="161"/>
      <c r="K158" s="162"/>
      <c r="L158" s="163">
        <v>0</v>
      </c>
      <c r="M158" s="163">
        <v>0</v>
      </c>
      <c r="N158" s="164">
        <f>SUMPRODUCT(L158,M158)</f>
        <v>0</v>
      </c>
      <c r="O158" s="165"/>
      <c r="P158" s="166"/>
      <c r="Q158" s="166"/>
      <c r="R158" s="166"/>
      <c r="S158" s="166"/>
      <c r="T158" s="162"/>
      <c r="U158" s="163">
        <v>0</v>
      </c>
      <c r="V158" s="167"/>
      <c r="W158" s="162"/>
      <c r="X158" s="163">
        <v>0</v>
      </c>
      <c r="Y158" s="168"/>
      <c r="Z158" s="170"/>
    </row>
    <row r="159" spans="1:26" x14ac:dyDescent="0.3">
      <c r="A159" s="154"/>
      <c r="B159" s="155"/>
      <c r="C159" s="155"/>
      <c r="D159" s="155"/>
      <c r="E159" s="156"/>
      <c r="F159" s="157"/>
      <c r="G159" s="158"/>
      <c r="H159" s="159"/>
      <c r="I159" s="160"/>
      <c r="J159" s="161"/>
      <c r="K159" s="162"/>
      <c r="L159" s="163">
        <v>0</v>
      </c>
      <c r="M159" s="163">
        <v>0</v>
      </c>
      <c r="N159" s="164">
        <f>SUMPRODUCT(L159,M159)</f>
        <v>0</v>
      </c>
      <c r="O159" s="165"/>
      <c r="P159" s="166"/>
      <c r="Q159" s="166"/>
      <c r="R159" s="166"/>
      <c r="S159" s="166"/>
      <c r="T159" s="160"/>
      <c r="U159" s="163">
        <v>0</v>
      </c>
      <c r="V159" s="167"/>
      <c r="W159" s="160"/>
      <c r="X159" s="163">
        <v>0</v>
      </c>
      <c r="Y159" s="168"/>
      <c r="Z159" s="170"/>
    </row>
    <row r="160" spans="1:26" ht="15" thickBot="1" x14ac:dyDescent="0.35">
      <c r="A160" s="171"/>
      <c r="B160" s="172"/>
      <c r="C160" s="172"/>
      <c r="D160" s="172"/>
      <c r="E160" s="173"/>
      <c r="F160" s="174"/>
      <c r="G160" s="175"/>
      <c r="H160" s="176"/>
      <c r="I160" s="179"/>
      <c r="J160" s="184"/>
      <c r="K160" s="185"/>
      <c r="L160" s="180">
        <v>0</v>
      </c>
      <c r="M160" s="180">
        <v>0</v>
      </c>
      <c r="N160" s="186">
        <f>SUMPRODUCT(L160,M160)</f>
        <v>0</v>
      </c>
      <c r="O160" s="177"/>
      <c r="P160" s="178"/>
      <c r="Q160" s="178"/>
      <c r="R160" s="178"/>
      <c r="S160" s="178"/>
      <c r="T160" s="179"/>
      <c r="U160" s="180">
        <v>0</v>
      </c>
      <c r="V160" s="181"/>
      <c r="W160" s="179"/>
      <c r="X160" s="180">
        <v>0</v>
      </c>
      <c r="Y160" s="182"/>
      <c r="Z160" s="183"/>
    </row>
    <row r="161" spans="1:26" x14ac:dyDescent="0.3">
      <c r="A161" s="138">
        <v>44066</v>
      </c>
      <c r="B161" s="139"/>
      <c r="C161" s="139"/>
      <c r="D161" s="139">
        <f t="shared" ref="D161" si="107">SUM(C161-B161)</f>
        <v>0</v>
      </c>
      <c r="E161" s="140">
        <f t="shared" ref="E161" si="108">SUM(D161)</f>
        <v>0</v>
      </c>
      <c r="F161" s="141">
        <v>1549</v>
      </c>
      <c r="G161" s="142">
        <f t="shared" ref="G161" si="109">PRODUCT(E161,36000)</f>
        <v>0</v>
      </c>
      <c r="H161" s="143"/>
      <c r="I161" s="144"/>
      <c r="J161" s="145"/>
      <c r="K161" s="146"/>
      <c r="L161" s="147">
        <v>0</v>
      </c>
      <c r="M161" s="147">
        <v>0</v>
      </c>
      <c r="N161" s="148">
        <f t="shared" ref="N161:N225" si="110">SUMPRODUCT(L161,M161)</f>
        <v>0</v>
      </c>
      <c r="O161" s="149">
        <f t="shared" ref="O161" si="111">SUM(N161:N167)</f>
        <v>0</v>
      </c>
      <c r="P161" s="150"/>
      <c r="Q161" s="150"/>
      <c r="R161" s="150"/>
      <c r="S161" s="150"/>
      <c r="T161" s="146"/>
      <c r="U161" s="147">
        <v>0</v>
      </c>
      <c r="V161" s="151">
        <f t="shared" ref="V161" si="112">U161:U167</f>
        <v>0</v>
      </c>
      <c r="W161" s="146"/>
      <c r="X161" s="147">
        <v>0</v>
      </c>
      <c r="Y161" s="152">
        <f t="shared" ref="Y161" si="113">X161:X167</f>
        <v>0</v>
      </c>
      <c r="Z161" s="153">
        <f t="shared" ref="Z161" si="114">G161+O161+V161-Y161</f>
        <v>0</v>
      </c>
    </row>
    <row r="162" spans="1:26" x14ac:dyDescent="0.3">
      <c r="A162" s="154"/>
      <c r="B162" s="155"/>
      <c r="C162" s="155"/>
      <c r="D162" s="155"/>
      <c r="E162" s="156"/>
      <c r="F162" s="157"/>
      <c r="G162" s="158"/>
      <c r="H162" s="159"/>
      <c r="I162" s="160"/>
      <c r="J162" s="161"/>
      <c r="K162" s="162"/>
      <c r="L162" s="163">
        <v>0</v>
      </c>
      <c r="M162" s="163">
        <v>0</v>
      </c>
      <c r="N162" s="164">
        <f t="shared" si="110"/>
        <v>0</v>
      </c>
      <c r="O162" s="165"/>
      <c r="P162" s="166"/>
      <c r="Q162" s="166"/>
      <c r="R162" s="166"/>
      <c r="S162" s="166"/>
      <c r="T162" s="162"/>
      <c r="U162" s="163">
        <v>0</v>
      </c>
      <c r="V162" s="167"/>
      <c r="W162" s="162"/>
      <c r="X162" s="163">
        <v>0</v>
      </c>
      <c r="Y162" s="168"/>
      <c r="Z162" s="169"/>
    </row>
    <row r="163" spans="1:26" x14ac:dyDescent="0.3">
      <c r="A163" s="154"/>
      <c r="B163" s="155"/>
      <c r="C163" s="155"/>
      <c r="D163" s="155"/>
      <c r="E163" s="156"/>
      <c r="F163" s="157"/>
      <c r="G163" s="158"/>
      <c r="H163" s="159"/>
      <c r="I163" s="160"/>
      <c r="J163" s="161"/>
      <c r="K163" s="162"/>
      <c r="L163" s="163">
        <v>0</v>
      </c>
      <c r="M163" s="163">
        <v>0</v>
      </c>
      <c r="N163" s="164">
        <f t="shared" si="110"/>
        <v>0</v>
      </c>
      <c r="O163" s="165"/>
      <c r="P163" s="166"/>
      <c r="Q163" s="166"/>
      <c r="R163" s="166"/>
      <c r="S163" s="166"/>
      <c r="T163" s="162"/>
      <c r="U163" s="163">
        <v>0</v>
      </c>
      <c r="V163" s="167"/>
      <c r="W163" s="162"/>
      <c r="X163" s="163">
        <v>0</v>
      </c>
      <c r="Y163" s="168"/>
      <c r="Z163" s="169"/>
    </row>
    <row r="164" spans="1:26" x14ac:dyDescent="0.3">
      <c r="A164" s="154"/>
      <c r="B164" s="155"/>
      <c r="C164" s="155"/>
      <c r="D164" s="155"/>
      <c r="E164" s="156"/>
      <c r="F164" s="157"/>
      <c r="G164" s="158"/>
      <c r="H164" s="159"/>
      <c r="I164" s="160"/>
      <c r="J164" s="161"/>
      <c r="K164" s="162"/>
      <c r="L164" s="163">
        <v>0</v>
      </c>
      <c r="M164" s="163">
        <v>0</v>
      </c>
      <c r="N164" s="164">
        <f t="shared" si="110"/>
        <v>0</v>
      </c>
      <c r="O164" s="165"/>
      <c r="P164" s="166"/>
      <c r="Q164" s="166"/>
      <c r="R164" s="166"/>
      <c r="S164" s="166"/>
      <c r="T164" s="162"/>
      <c r="U164" s="163">
        <v>0</v>
      </c>
      <c r="V164" s="167"/>
      <c r="W164" s="162"/>
      <c r="X164" s="163">
        <v>0</v>
      </c>
      <c r="Y164" s="168"/>
      <c r="Z164" s="170"/>
    </row>
    <row r="165" spans="1:26" x14ac:dyDescent="0.3">
      <c r="A165" s="154"/>
      <c r="B165" s="155"/>
      <c r="C165" s="155"/>
      <c r="D165" s="155"/>
      <c r="E165" s="156"/>
      <c r="F165" s="157"/>
      <c r="G165" s="158"/>
      <c r="H165" s="159"/>
      <c r="I165" s="160"/>
      <c r="J165" s="161"/>
      <c r="K165" s="162"/>
      <c r="L165" s="163">
        <v>0</v>
      </c>
      <c r="M165" s="163">
        <v>0</v>
      </c>
      <c r="N165" s="164">
        <f t="shared" si="110"/>
        <v>0</v>
      </c>
      <c r="O165" s="165"/>
      <c r="P165" s="166"/>
      <c r="Q165" s="166"/>
      <c r="R165" s="166"/>
      <c r="S165" s="166"/>
      <c r="T165" s="162"/>
      <c r="U165" s="163">
        <v>0</v>
      </c>
      <c r="V165" s="167"/>
      <c r="W165" s="162"/>
      <c r="X165" s="163">
        <v>0</v>
      </c>
      <c r="Y165" s="168"/>
      <c r="Z165" s="170"/>
    </row>
    <row r="166" spans="1:26" x14ac:dyDescent="0.3">
      <c r="A166" s="154"/>
      <c r="B166" s="155"/>
      <c r="C166" s="155"/>
      <c r="D166" s="155"/>
      <c r="E166" s="156"/>
      <c r="F166" s="157"/>
      <c r="G166" s="158"/>
      <c r="H166" s="159"/>
      <c r="I166" s="160"/>
      <c r="J166" s="161"/>
      <c r="K166" s="162"/>
      <c r="L166" s="163">
        <v>0</v>
      </c>
      <c r="M166" s="163">
        <v>0</v>
      </c>
      <c r="N166" s="164">
        <f t="shared" si="110"/>
        <v>0</v>
      </c>
      <c r="O166" s="165"/>
      <c r="P166" s="166"/>
      <c r="Q166" s="166"/>
      <c r="R166" s="166"/>
      <c r="S166" s="166"/>
      <c r="T166" s="160"/>
      <c r="U166" s="163">
        <v>0</v>
      </c>
      <c r="V166" s="167"/>
      <c r="W166" s="160"/>
      <c r="X166" s="163">
        <v>0</v>
      </c>
      <c r="Y166" s="168"/>
      <c r="Z166" s="170"/>
    </row>
    <row r="167" spans="1:26" ht="15" thickBot="1" x14ac:dyDescent="0.35">
      <c r="A167" s="171"/>
      <c r="B167" s="172"/>
      <c r="C167" s="172"/>
      <c r="D167" s="172"/>
      <c r="E167" s="173"/>
      <c r="F167" s="174"/>
      <c r="G167" s="175"/>
      <c r="H167" s="176"/>
      <c r="I167" s="179"/>
      <c r="J167" s="184"/>
      <c r="K167" s="185"/>
      <c r="L167" s="180">
        <v>0</v>
      </c>
      <c r="M167" s="180">
        <v>0</v>
      </c>
      <c r="N167" s="186">
        <f t="shared" si="110"/>
        <v>0</v>
      </c>
      <c r="O167" s="177"/>
      <c r="P167" s="178"/>
      <c r="Q167" s="178"/>
      <c r="R167" s="178"/>
      <c r="S167" s="178"/>
      <c r="T167" s="179"/>
      <c r="U167" s="180">
        <v>0</v>
      </c>
      <c r="V167" s="181"/>
      <c r="W167" s="179"/>
      <c r="X167" s="180">
        <v>0</v>
      </c>
      <c r="Y167" s="182"/>
      <c r="Z167" s="183"/>
    </row>
    <row r="168" spans="1:26" x14ac:dyDescent="0.3">
      <c r="A168" s="138">
        <v>44067</v>
      </c>
      <c r="B168" s="139"/>
      <c r="C168" s="139"/>
      <c r="D168" s="139">
        <f t="shared" ref="D168" si="115">SUM(C168-B168)</f>
        <v>0</v>
      </c>
      <c r="E168" s="140">
        <f t="shared" ref="E168" si="116">SUM(D168)</f>
        <v>0</v>
      </c>
      <c r="F168" s="141">
        <v>1550</v>
      </c>
      <c r="G168" s="142">
        <f t="shared" ref="G168" si="117">PRODUCT(E168,36000)</f>
        <v>0</v>
      </c>
      <c r="H168" s="143"/>
      <c r="I168" s="144"/>
      <c r="J168" s="145"/>
      <c r="K168" s="146"/>
      <c r="L168" s="147">
        <v>0</v>
      </c>
      <c r="M168" s="147">
        <v>0</v>
      </c>
      <c r="N168" s="148">
        <f t="shared" si="110"/>
        <v>0</v>
      </c>
      <c r="O168" s="149">
        <f t="shared" ref="O168" si="118">SUM(N168:N174)</f>
        <v>0</v>
      </c>
      <c r="P168" s="150"/>
      <c r="Q168" s="150"/>
      <c r="R168" s="150"/>
      <c r="S168" s="150"/>
      <c r="T168" s="146"/>
      <c r="U168" s="147">
        <v>0</v>
      </c>
      <c r="V168" s="151">
        <f t="shared" ref="V168" si="119">U168:U174</f>
        <v>0</v>
      </c>
      <c r="W168" s="146"/>
      <c r="X168" s="147">
        <v>0</v>
      </c>
      <c r="Y168" s="152">
        <f t="shared" ref="Y168" si="120">X168:X174</f>
        <v>0</v>
      </c>
      <c r="Z168" s="153">
        <f t="shared" ref="Z168" si="121">G168+O168+V168-Y168</f>
        <v>0</v>
      </c>
    </row>
    <row r="169" spans="1:26" x14ac:dyDescent="0.3">
      <c r="A169" s="154"/>
      <c r="B169" s="155"/>
      <c r="C169" s="155"/>
      <c r="D169" s="155"/>
      <c r="E169" s="156"/>
      <c r="F169" s="157"/>
      <c r="G169" s="158"/>
      <c r="H169" s="159"/>
      <c r="I169" s="160"/>
      <c r="J169" s="161"/>
      <c r="K169" s="162"/>
      <c r="L169" s="163">
        <v>0</v>
      </c>
      <c r="M169" s="163">
        <v>0</v>
      </c>
      <c r="N169" s="164">
        <f t="shared" si="110"/>
        <v>0</v>
      </c>
      <c r="O169" s="165"/>
      <c r="P169" s="166"/>
      <c r="Q169" s="166"/>
      <c r="R169" s="166"/>
      <c r="S169" s="166"/>
      <c r="T169" s="162"/>
      <c r="U169" s="163">
        <v>0</v>
      </c>
      <c r="V169" s="167"/>
      <c r="W169" s="162"/>
      <c r="X169" s="163">
        <v>0</v>
      </c>
      <c r="Y169" s="168"/>
      <c r="Z169" s="169"/>
    </row>
    <row r="170" spans="1:26" x14ac:dyDescent="0.3">
      <c r="A170" s="154"/>
      <c r="B170" s="155"/>
      <c r="C170" s="155"/>
      <c r="D170" s="155"/>
      <c r="E170" s="156"/>
      <c r="F170" s="157"/>
      <c r="G170" s="158"/>
      <c r="H170" s="159"/>
      <c r="I170" s="160"/>
      <c r="J170" s="161"/>
      <c r="K170" s="162"/>
      <c r="L170" s="163">
        <v>0</v>
      </c>
      <c r="M170" s="163">
        <v>0</v>
      </c>
      <c r="N170" s="164">
        <f t="shared" si="110"/>
        <v>0</v>
      </c>
      <c r="O170" s="165"/>
      <c r="P170" s="166"/>
      <c r="Q170" s="166"/>
      <c r="R170" s="166"/>
      <c r="S170" s="166"/>
      <c r="T170" s="162"/>
      <c r="U170" s="163">
        <v>0</v>
      </c>
      <c r="V170" s="167"/>
      <c r="W170" s="162"/>
      <c r="X170" s="163">
        <v>0</v>
      </c>
      <c r="Y170" s="168"/>
      <c r="Z170" s="169"/>
    </row>
    <row r="171" spans="1:26" x14ac:dyDescent="0.3">
      <c r="A171" s="154"/>
      <c r="B171" s="155"/>
      <c r="C171" s="155"/>
      <c r="D171" s="155"/>
      <c r="E171" s="156"/>
      <c r="F171" s="157"/>
      <c r="G171" s="158"/>
      <c r="H171" s="159"/>
      <c r="I171" s="160"/>
      <c r="J171" s="161"/>
      <c r="K171" s="162"/>
      <c r="L171" s="163">
        <v>0</v>
      </c>
      <c r="M171" s="163">
        <v>0</v>
      </c>
      <c r="N171" s="164">
        <f t="shared" si="110"/>
        <v>0</v>
      </c>
      <c r="O171" s="165"/>
      <c r="P171" s="166"/>
      <c r="Q171" s="166"/>
      <c r="R171" s="166"/>
      <c r="S171" s="166"/>
      <c r="T171" s="162"/>
      <c r="U171" s="163">
        <v>0</v>
      </c>
      <c r="V171" s="167"/>
      <c r="W171" s="162"/>
      <c r="X171" s="163">
        <v>0</v>
      </c>
      <c r="Y171" s="168"/>
      <c r="Z171" s="170"/>
    </row>
    <row r="172" spans="1:26" x14ac:dyDescent="0.3">
      <c r="A172" s="154"/>
      <c r="B172" s="155"/>
      <c r="C172" s="155"/>
      <c r="D172" s="155"/>
      <c r="E172" s="156"/>
      <c r="F172" s="157"/>
      <c r="G172" s="158"/>
      <c r="H172" s="159"/>
      <c r="I172" s="160"/>
      <c r="J172" s="161"/>
      <c r="K172" s="162"/>
      <c r="L172" s="163">
        <v>0</v>
      </c>
      <c r="M172" s="163">
        <v>0</v>
      </c>
      <c r="N172" s="164">
        <f t="shared" si="110"/>
        <v>0</v>
      </c>
      <c r="O172" s="165"/>
      <c r="P172" s="166"/>
      <c r="Q172" s="166"/>
      <c r="R172" s="166"/>
      <c r="S172" s="166"/>
      <c r="T172" s="162"/>
      <c r="U172" s="163">
        <v>0</v>
      </c>
      <c r="V172" s="167"/>
      <c r="W172" s="162"/>
      <c r="X172" s="163">
        <v>0</v>
      </c>
      <c r="Y172" s="168"/>
      <c r="Z172" s="170"/>
    </row>
    <row r="173" spans="1:26" x14ac:dyDescent="0.3">
      <c r="A173" s="154"/>
      <c r="B173" s="155"/>
      <c r="C173" s="155"/>
      <c r="D173" s="155"/>
      <c r="E173" s="156"/>
      <c r="F173" s="157"/>
      <c r="G173" s="158"/>
      <c r="H173" s="159"/>
      <c r="I173" s="160"/>
      <c r="J173" s="161"/>
      <c r="K173" s="162"/>
      <c r="L173" s="163">
        <v>0</v>
      </c>
      <c r="M173" s="163">
        <v>0</v>
      </c>
      <c r="N173" s="164">
        <f t="shared" si="110"/>
        <v>0</v>
      </c>
      <c r="O173" s="165"/>
      <c r="P173" s="166"/>
      <c r="Q173" s="166"/>
      <c r="R173" s="166"/>
      <c r="S173" s="166"/>
      <c r="T173" s="160"/>
      <c r="U173" s="163">
        <v>0</v>
      </c>
      <c r="V173" s="167"/>
      <c r="W173" s="160"/>
      <c r="X173" s="163">
        <v>0</v>
      </c>
      <c r="Y173" s="168"/>
      <c r="Z173" s="170"/>
    </row>
    <row r="174" spans="1:26" ht="15" thickBot="1" x14ac:dyDescent="0.35">
      <c r="A174" s="171"/>
      <c r="B174" s="172"/>
      <c r="C174" s="172"/>
      <c r="D174" s="172"/>
      <c r="E174" s="173"/>
      <c r="F174" s="174"/>
      <c r="G174" s="175"/>
      <c r="H174" s="176"/>
      <c r="I174" s="179"/>
      <c r="J174" s="184"/>
      <c r="K174" s="185"/>
      <c r="L174" s="180">
        <v>0</v>
      </c>
      <c r="M174" s="180">
        <v>0</v>
      </c>
      <c r="N174" s="186">
        <f t="shared" si="110"/>
        <v>0</v>
      </c>
      <c r="O174" s="177"/>
      <c r="P174" s="178"/>
      <c r="Q174" s="178"/>
      <c r="R174" s="178"/>
      <c r="S174" s="178"/>
      <c r="T174" s="179"/>
      <c r="U174" s="180">
        <v>0</v>
      </c>
      <c r="V174" s="181"/>
      <c r="W174" s="179"/>
      <c r="X174" s="180">
        <v>0</v>
      </c>
      <c r="Y174" s="182"/>
      <c r="Z174" s="183"/>
    </row>
    <row r="175" spans="1:26" x14ac:dyDescent="0.3">
      <c r="A175" s="138">
        <v>44068</v>
      </c>
      <c r="B175" s="139"/>
      <c r="C175" s="139"/>
      <c r="D175" s="139">
        <f t="shared" ref="D175" si="122">SUM(C175-B175)</f>
        <v>0</v>
      </c>
      <c r="E175" s="140">
        <f t="shared" ref="E175" si="123">SUM(D175)</f>
        <v>0</v>
      </c>
      <c r="F175" s="141">
        <v>1551</v>
      </c>
      <c r="G175" s="142">
        <f t="shared" ref="G175" si="124">PRODUCT(E175,36000)</f>
        <v>0</v>
      </c>
      <c r="H175" s="143"/>
      <c r="I175" s="144"/>
      <c r="J175" s="145"/>
      <c r="K175" s="146"/>
      <c r="L175" s="147">
        <v>0</v>
      </c>
      <c r="M175" s="147">
        <v>0</v>
      </c>
      <c r="N175" s="148">
        <f t="shared" si="110"/>
        <v>0</v>
      </c>
      <c r="O175" s="149">
        <f t="shared" ref="O175" si="125">SUM(N175:N181)</f>
        <v>0</v>
      </c>
      <c r="P175" s="150"/>
      <c r="Q175" s="150"/>
      <c r="R175" s="150"/>
      <c r="S175" s="150"/>
      <c r="T175" s="146"/>
      <c r="U175" s="147">
        <v>0</v>
      </c>
      <c r="V175" s="151">
        <f t="shared" ref="V175" si="126">U175:U181</f>
        <v>0</v>
      </c>
      <c r="W175" s="146"/>
      <c r="X175" s="147">
        <v>0</v>
      </c>
      <c r="Y175" s="152">
        <f t="shared" ref="Y175" si="127">X175:X181</f>
        <v>0</v>
      </c>
      <c r="Z175" s="153">
        <f t="shared" ref="Z175" si="128">G175+O175+V175-Y175</f>
        <v>0</v>
      </c>
    </row>
    <row r="176" spans="1:26" x14ac:dyDescent="0.3">
      <c r="A176" s="154"/>
      <c r="B176" s="155"/>
      <c r="C176" s="155"/>
      <c r="D176" s="155"/>
      <c r="E176" s="156"/>
      <c r="F176" s="157"/>
      <c r="G176" s="158"/>
      <c r="H176" s="159"/>
      <c r="I176" s="160"/>
      <c r="J176" s="161"/>
      <c r="K176" s="162"/>
      <c r="L176" s="163">
        <v>0</v>
      </c>
      <c r="M176" s="163">
        <v>0</v>
      </c>
      <c r="N176" s="164">
        <f t="shared" si="110"/>
        <v>0</v>
      </c>
      <c r="O176" s="165"/>
      <c r="P176" s="166"/>
      <c r="Q176" s="166"/>
      <c r="R176" s="166"/>
      <c r="S176" s="166"/>
      <c r="T176" s="162"/>
      <c r="U176" s="163">
        <v>0</v>
      </c>
      <c r="V176" s="167"/>
      <c r="W176" s="162"/>
      <c r="X176" s="163">
        <v>0</v>
      </c>
      <c r="Y176" s="168"/>
      <c r="Z176" s="169"/>
    </row>
    <row r="177" spans="1:26" x14ac:dyDescent="0.3">
      <c r="A177" s="154"/>
      <c r="B177" s="155"/>
      <c r="C177" s="155"/>
      <c r="D177" s="155"/>
      <c r="E177" s="156"/>
      <c r="F177" s="157"/>
      <c r="G177" s="158"/>
      <c r="H177" s="159"/>
      <c r="I177" s="160"/>
      <c r="J177" s="161"/>
      <c r="K177" s="162"/>
      <c r="L177" s="163">
        <v>0</v>
      </c>
      <c r="M177" s="163">
        <v>0</v>
      </c>
      <c r="N177" s="164">
        <f t="shared" si="110"/>
        <v>0</v>
      </c>
      <c r="O177" s="165"/>
      <c r="P177" s="166"/>
      <c r="Q177" s="166"/>
      <c r="R177" s="166"/>
      <c r="S177" s="166"/>
      <c r="T177" s="162"/>
      <c r="U177" s="163">
        <v>0</v>
      </c>
      <c r="V177" s="167"/>
      <c r="W177" s="162"/>
      <c r="X177" s="163">
        <v>0</v>
      </c>
      <c r="Y177" s="168"/>
      <c r="Z177" s="169"/>
    </row>
    <row r="178" spans="1:26" x14ac:dyDescent="0.3">
      <c r="A178" s="154"/>
      <c r="B178" s="155"/>
      <c r="C178" s="155"/>
      <c r="D178" s="155"/>
      <c r="E178" s="156"/>
      <c r="F178" s="157"/>
      <c r="G178" s="158"/>
      <c r="H178" s="159"/>
      <c r="I178" s="160"/>
      <c r="J178" s="161"/>
      <c r="K178" s="162"/>
      <c r="L178" s="163">
        <v>0</v>
      </c>
      <c r="M178" s="163">
        <v>0</v>
      </c>
      <c r="N178" s="164">
        <f t="shared" si="110"/>
        <v>0</v>
      </c>
      <c r="O178" s="165"/>
      <c r="P178" s="166"/>
      <c r="Q178" s="166"/>
      <c r="R178" s="166"/>
      <c r="S178" s="166"/>
      <c r="T178" s="162"/>
      <c r="U178" s="163">
        <v>0</v>
      </c>
      <c r="V178" s="167"/>
      <c r="W178" s="162"/>
      <c r="X178" s="163">
        <v>0</v>
      </c>
      <c r="Y178" s="168"/>
      <c r="Z178" s="170"/>
    </row>
    <row r="179" spans="1:26" x14ac:dyDescent="0.3">
      <c r="A179" s="154"/>
      <c r="B179" s="155"/>
      <c r="C179" s="155"/>
      <c r="D179" s="155"/>
      <c r="E179" s="156"/>
      <c r="F179" s="157"/>
      <c r="G179" s="158"/>
      <c r="H179" s="159"/>
      <c r="I179" s="160"/>
      <c r="J179" s="161"/>
      <c r="K179" s="162"/>
      <c r="L179" s="163">
        <v>0</v>
      </c>
      <c r="M179" s="163">
        <v>0</v>
      </c>
      <c r="N179" s="164">
        <f t="shared" si="110"/>
        <v>0</v>
      </c>
      <c r="O179" s="165"/>
      <c r="P179" s="166"/>
      <c r="Q179" s="166"/>
      <c r="R179" s="166"/>
      <c r="S179" s="166"/>
      <c r="T179" s="162"/>
      <c r="U179" s="163">
        <v>0</v>
      </c>
      <c r="V179" s="167"/>
      <c r="W179" s="162"/>
      <c r="X179" s="163">
        <v>0</v>
      </c>
      <c r="Y179" s="168"/>
      <c r="Z179" s="170"/>
    </row>
    <row r="180" spans="1:26" x14ac:dyDescent="0.3">
      <c r="A180" s="154"/>
      <c r="B180" s="155"/>
      <c r="C180" s="155"/>
      <c r="D180" s="155"/>
      <c r="E180" s="156"/>
      <c r="F180" s="157"/>
      <c r="G180" s="158"/>
      <c r="H180" s="159"/>
      <c r="I180" s="160"/>
      <c r="J180" s="161"/>
      <c r="K180" s="162"/>
      <c r="L180" s="163">
        <v>0</v>
      </c>
      <c r="M180" s="163">
        <v>0</v>
      </c>
      <c r="N180" s="164">
        <f t="shared" si="110"/>
        <v>0</v>
      </c>
      <c r="O180" s="165"/>
      <c r="P180" s="166"/>
      <c r="Q180" s="166"/>
      <c r="R180" s="166"/>
      <c r="S180" s="166"/>
      <c r="T180" s="160"/>
      <c r="U180" s="163">
        <v>0</v>
      </c>
      <c r="V180" s="167"/>
      <c r="W180" s="160"/>
      <c r="X180" s="163">
        <v>0</v>
      </c>
      <c r="Y180" s="168"/>
      <c r="Z180" s="170"/>
    </row>
    <row r="181" spans="1:26" ht="15" thickBot="1" x14ac:dyDescent="0.35">
      <c r="A181" s="171"/>
      <c r="B181" s="172"/>
      <c r="C181" s="172"/>
      <c r="D181" s="172"/>
      <c r="E181" s="173"/>
      <c r="F181" s="174"/>
      <c r="G181" s="175"/>
      <c r="H181" s="176"/>
      <c r="I181" s="179"/>
      <c r="J181" s="184"/>
      <c r="K181" s="185"/>
      <c r="L181" s="180">
        <v>0</v>
      </c>
      <c r="M181" s="180">
        <v>0</v>
      </c>
      <c r="N181" s="186">
        <f t="shared" si="110"/>
        <v>0</v>
      </c>
      <c r="O181" s="177"/>
      <c r="P181" s="178"/>
      <c r="Q181" s="178"/>
      <c r="R181" s="178"/>
      <c r="S181" s="178"/>
      <c r="T181" s="179"/>
      <c r="U181" s="180">
        <v>0</v>
      </c>
      <c r="V181" s="181"/>
      <c r="W181" s="179"/>
      <c r="X181" s="180">
        <v>0</v>
      </c>
      <c r="Y181" s="182"/>
      <c r="Z181" s="183"/>
    </row>
    <row r="182" spans="1:26" x14ac:dyDescent="0.3">
      <c r="A182" s="138">
        <v>44069</v>
      </c>
      <c r="B182" s="139"/>
      <c r="C182" s="139"/>
      <c r="D182" s="139">
        <f t="shared" ref="D182" si="129">SUM(C182-B182)</f>
        <v>0</v>
      </c>
      <c r="E182" s="140">
        <f t="shared" ref="E182" si="130">SUM(D182)</f>
        <v>0</v>
      </c>
      <c r="F182" s="141">
        <v>1552</v>
      </c>
      <c r="G182" s="142">
        <f t="shared" ref="G182" si="131">PRODUCT(E182,36000)</f>
        <v>0</v>
      </c>
      <c r="H182" s="143"/>
      <c r="I182" s="144"/>
      <c r="J182" s="145"/>
      <c r="K182" s="146"/>
      <c r="L182" s="147">
        <v>0</v>
      </c>
      <c r="M182" s="147">
        <v>0</v>
      </c>
      <c r="N182" s="148">
        <f t="shared" si="110"/>
        <v>0</v>
      </c>
      <c r="O182" s="149">
        <f t="shared" ref="O182" si="132">SUM(N182:N188)</f>
        <v>0</v>
      </c>
      <c r="P182" s="150"/>
      <c r="Q182" s="150"/>
      <c r="R182" s="150"/>
      <c r="S182" s="150"/>
      <c r="T182" s="146"/>
      <c r="U182" s="147">
        <v>0</v>
      </c>
      <c r="V182" s="151">
        <f t="shared" ref="V182" si="133">U182:U188</f>
        <v>0</v>
      </c>
      <c r="W182" s="146"/>
      <c r="X182" s="147">
        <v>0</v>
      </c>
      <c r="Y182" s="152">
        <f t="shared" ref="Y182" si="134">X182:X188</f>
        <v>0</v>
      </c>
      <c r="Z182" s="153">
        <f t="shared" ref="Z182" si="135">G182+O182+V182-Y182</f>
        <v>0</v>
      </c>
    </row>
    <row r="183" spans="1:26" x14ac:dyDescent="0.3">
      <c r="A183" s="154"/>
      <c r="B183" s="155"/>
      <c r="C183" s="155"/>
      <c r="D183" s="155"/>
      <c r="E183" s="156"/>
      <c r="F183" s="157"/>
      <c r="G183" s="158"/>
      <c r="H183" s="159"/>
      <c r="I183" s="160"/>
      <c r="J183" s="161"/>
      <c r="K183" s="162"/>
      <c r="L183" s="163">
        <v>0</v>
      </c>
      <c r="M183" s="163">
        <v>0</v>
      </c>
      <c r="N183" s="164">
        <f t="shared" si="110"/>
        <v>0</v>
      </c>
      <c r="O183" s="165"/>
      <c r="P183" s="166"/>
      <c r="Q183" s="166"/>
      <c r="R183" s="166"/>
      <c r="S183" s="166"/>
      <c r="T183" s="162"/>
      <c r="U183" s="163">
        <v>0</v>
      </c>
      <c r="V183" s="167"/>
      <c r="W183" s="162"/>
      <c r="X183" s="163">
        <v>0</v>
      </c>
      <c r="Y183" s="168"/>
      <c r="Z183" s="169"/>
    </row>
    <row r="184" spans="1:26" x14ac:dyDescent="0.3">
      <c r="A184" s="154"/>
      <c r="B184" s="155"/>
      <c r="C184" s="155"/>
      <c r="D184" s="155"/>
      <c r="E184" s="156"/>
      <c r="F184" s="157"/>
      <c r="G184" s="158"/>
      <c r="H184" s="159"/>
      <c r="I184" s="160"/>
      <c r="J184" s="161"/>
      <c r="K184" s="162"/>
      <c r="L184" s="163">
        <v>0</v>
      </c>
      <c r="M184" s="163">
        <v>0</v>
      </c>
      <c r="N184" s="164">
        <f t="shared" si="110"/>
        <v>0</v>
      </c>
      <c r="O184" s="165"/>
      <c r="P184" s="166"/>
      <c r="Q184" s="166"/>
      <c r="R184" s="166"/>
      <c r="S184" s="166"/>
      <c r="T184" s="162"/>
      <c r="U184" s="163">
        <v>0</v>
      </c>
      <c r="V184" s="167"/>
      <c r="W184" s="162"/>
      <c r="X184" s="163">
        <v>0</v>
      </c>
      <c r="Y184" s="168"/>
      <c r="Z184" s="169"/>
    </row>
    <row r="185" spans="1:26" x14ac:dyDescent="0.3">
      <c r="A185" s="154"/>
      <c r="B185" s="155"/>
      <c r="C185" s="155"/>
      <c r="D185" s="155"/>
      <c r="E185" s="156"/>
      <c r="F185" s="157"/>
      <c r="G185" s="158"/>
      <c r="H185" s="159"/>
      <c r="I185" s="160"/>
      <c r="J185" s="161"/>
      <c r="K185" s="162"/>
      <c r="L185" s="163">
        <v>0</v>
      </c>
      <c r="M185" s="163">
        <v>0</v>
      </c>
      <c r="N185" s="164">
        <f t="shared" si="110"/>
        <v>0</v>
      </c>
      <c r="O185" s="165"/>
      <c r="P185" s="166"/>
      <c r="Q185" s="166"/>
      <c r="R185" s="166"/>
      <c r="S185" s="166"/>
      <c r="T185" s="162"/>
      <c r="U185" s="163">
        <v>0</v>
      </c>
      <c r="V185" s="167"/>
      <c r="W185" s="162"/>
      <c r="X185" s="163">
        <v>0</v>
      </c>
      <c r="Y185" s="168"/>
      <c r="Z185" s="170"/>
    </row>
    <row r="186" spans="1:26" x14ac:dyDescent="0.3">
      <c r="A186" s="154"/>
      <c r="B186" s="155"/>
      <c r="C186" s="155"/>
      <c r="D186" s="155"/>
      <c r="E186" s="156"/>
      <c r="F186" s="157"/>
      <c r="G186" s="158"/>
      <c r="H186" s="159"/>
      <c r="I186" s="160"/>
      <c r="J186" s="161"/>
      <c r="K186" s="162"/>
      <c r="L186" s="163">
        <v>0</v>
      </c>
      <c r="M186" s="163">
        <v>0</v>
      </c>
      <c r="N186" s="164">
        <f t="shared" si="110"/>
        <v>0</v>
      </c>
      <c r="O186" s="165"/>
      <c r="P186" s="166"/>
      <c r="Q186" s="166"/>
      <c r="R186" s="166"/>
      <c r="S186" s="166"/>
      <c r="T186" s="162"/>
      <c r="U186" s="163">
        <v>0</v>
      </c>
      <c r="V186" s="167"/>
      <c r="W186" s="162"/>
      <c r="X186" s="163">
        <v>0</v>
      </c>
      <c r="Y186" s="168"/>
      <c r="Z186" s="170"/>
    </row>
    <row r="187" spans="1:26" x14ac:dyDescent="0.3">
      <c r="A187" s="154"/>
      <c r="B187" s="155"/>
      <c r="C187" s="155"/>
      <c r="D187" s="155"/>
      <c r="E187" s="156"/>
      <c r="F187" s="157"/>
      <c r="G187" s="158"/>
      <c r="H187" s="159"/>
      <c r="I187" s="160"/>
      <c r="J187" s="161"/>
      <c r="K187" s="162"/>
      <c r="L187" s="163">
        <v>0</v>
      </c>
      <c r="M187" s="163">
        <v>0</v>
      </c>
      <c r="N187" s="164">
        <f t="shared" si="110"/>
        <v>0</v>
      </c>
      <c r="O187" s="165"/>
      <c r="P187" s="166"/>
      <c r="Q187" s="166"/>
      <c r="R187" s="166"/>
      <c r="S187" s="166"/>
      <c r="T187" s="160"/>
      <c r="U187" s="163">
        <v>0</v>
      </c>
      <c r="V187" s="167"/>
      <c r="W187" s="160"/>
      <c r="X187" s="163">
        <v>0</v>
      </c>
      <c r="Y187" s="168"/>
      <c r="Z187" s="170"/>
    </row>
    <row r="188" spans="1:26" ht="15" thickBot="1" x14ac:dyDescent="0.35">
      <c r="A188" s="171"/>
      <c r="B188" s="172"/>
      <c r="C188" s="172"/>
      <c r="D188" s="172"/>
      <c r="E188" s="173"/>
      <c r="F188" s="174"/>
      <c r="G188" s="175"/>
      <c r="H188" s="176"/>
      <c r="I188" s="179"/>
      <c r="J188" s="184"/>
      <c r="K188" s="185"/>
      <c r="L188" s="180">
        <v>0</v>
      </c>
      <c r="M188" s="180">
        <v>0</v>
      </c>
      <c r="N188" s="186">
        <f t="shared" si="110"/>
        <v>0</v>
      </c>
      <c r="O188" s="177"/>
      <c r="P188" s="178"/>
      <c r="Q188" s="178"/>
      <c r="R188" s="178"/>
      <c r="S188" s="178"/>
      <c r="T188" s="179"/>
      <c r="U188" s="180">
        <v>0</v>
      </c>
      <c r="V188" s="181"/>
      <c r="W188" s="179"/>
      <c r="X188" s="180">
        <v>0</v>
      </c>
      <c r="Y188" s="182"/>
      <c r="Z188" s="183"/>
    </row>
    <row r="189" spans="1:26" x14ac:dyDescent="0.3">
      <c r="A189" s="138">
        <v>44070</v>
      </c>
      <c r="B189" s="139"/>
      <c r="C189" s="139"/>
      <c r="D189" s="139">
        <f t="shared" ref="D189" si="136">SUM(C189-B189)</f>
        <v>0</v>
      </c>
      <c r="E189" s="140">
        <f t="shared" ref="E189" si="137">SUM(D189)</f>
        <v>0</v>
      </c>
      <c r="F189" s="141">
        <v>1553</v>
      </c>
      <c r="G189" s="142">
        <f t="shared" ref="G189" si="138">PRODUCT(E189,36000)</f>
        <v>0</v>
      </c>
      <c r="H189" s="143"/>
      <c r="I189" s="144"/>
      <c r="J189" s="145"/>
      <c r="K189" s="146"/>
      <c r="L189" s="147">
        <v>0</v>
      </c>
      <c r="M189" s="147">
        <v>0</v>
      </c>
      <c r="N189" s="148">
        <f t="shared" si="110"/>
        <v>0</v>
      </c>
      <c r="O189" s="149">
        <f t="shared" ref="O189" si="139">SUM(N189:N195)</f>
        <v>0</v>
      </c>
      <c r="P189" s="150"/>
      <c r="Q189" s="150"/>
      <c r="R189" s="150"/>
      <c r="S189" s="150"/>
      <c r="T189" s="146"/>
      <c r="U189" s="147">
        <v>0</v>
      </c>
      <c r="V189" s="151">
        <f t="shared" ref="V189" si="140">U189:U195</f>
        <v>0</v>
      </c>
      <c r="W189" s="146"/>
      <c r="X189" s="147">
        <v>0</v>
      </c>
      <c r="Y189" s="152">
        <f t="shared" ref="Y189" si="141">X189:X195</f>
        <v>0</v>
      </c>
      <c r="Z189" s="153">
        <f t="shared" ref="Z189" si="142">G189+O189+V189-Y189</f>
        <v>0</v>
      </c>
    </row>
    <row r="190" spans="1:26" x14ac:dyDescent="0.3">
      <c r="A190" s="154"/>
      <c r="B190" s="155"/>
      <c r="C190" s="155"/>
      <c r="D190" s="155"/>
      <c r="E190" s="156"/>
      <c r="F190" s="157"/>
      <c r="G190" s="158"/>
      <c r="H190" s="159"/>
      <c r="I190" s="160"/>
      <c r="J190" s="161"/>
      <c r="K190" s="162"/>
      <c r="L190" s="163">
        <v>0</v>
      </c>
      <c r="M190" s="163">
        <v>0</v>
      </c>
      <c r="N190" s="164">
        <f t="shared" si="110"/>
        <v>0</v>
      </c>
      <c r="O190" s="165"/>
      <c r="P190" s="166"/>
      <c r="Q190" s="166"/>
      <c r="R190" s="166"/>
      <c r="S190" s="166"/>
      <c r="T190" s="162"/>
      <c r="U190" s="163">
        <v>0</v>
      </c>
      <c r="V190" s="167"/>
      <c r="W190" s="162"/>
      <c r="X190" s="163">
        <v>0</v>
      </c>
      <c r="Y190" s="168"/>
      <c r="Z190" s="169"/>
    </row>
    <row r="191" spans="1:26" x14ac:dyDescent="0.3">
      <c r="A191" s="154"/>
      <c r="B191" s="155"/>
      <c r="C191" s="155"/>
      <c r="D191" s="155"/>
      <c r="E191" s="156"/>
      <c r="F191" s="157"/>
      <c r="G191" s="158"/>
      <c r="H191" s="159"/>
      <c r="I191" s="160"/>
      <c r="J191" s="161"/>
      <c r="K191" s="162"/>
      <c r="L191" s="163">
        <v>0</v>
      </c>
      <c r="M191" s="163">
        <v>0</v>
      </c>
      <c r="N191" s="164">
        <f t="shared" si="110"/>
        <v>0</v>
      </c>
      <c r="O191" s="165"/>
      <c r="P191" s="166"/>
      <c r="Q191" s="166"/>
      <c r="R191" s="166"/>
      <c r="S191" s="166"/>
      <c r="T191" s="162"/>
      <c r="U191" s="163">
        <v>0</v>
      </c>
      <c r="V191" s="167"/>
      <c r="W191" s="162"/>
      <c r="X191" s="163">
        <v>0</v>
      </c>
      <c r="Y191" s="168"/>
      <c r="Z191" s="169"/>
    </row>
    <row r="192" spans="1:26" x14ac:dyDescent="0.3">
      <c r="A192" s="154"/>
      <c r="B192" s="155"/>
      <c r="C192" s="155"/>
      <c r="D192" s="155"/>
      <c r="E192" s="156"/>
      <c r="F192" s="157"/>
      <c r="G192" s="158"/>
      <c r="H192" s="159"/>
      <c r="I192" s="160"/>
      <c r="J192" s="161"/>
      <c r="K192" s="162"/>
      <c r="L192" s="163">
        <v>0</v>
      </c>
      <c r="M192" s="163">
        <v>0</v>
      </c>
      <c r="N192" s="164">
        <f t="shared" si="110"/>
        <v>0</v>
      </c>
      <c r="O192" s="165"/>
      <c r="P192" s="166"/>
      <c r="Q192" s="166"/>
      <c r="R192" s="166"/>
      <c r="S192" s="166"/>
      <c r="T192" s="162"/>
      <c r="U192" s="163">
        <v>0</v>
      </c>
      <c r="V192" s="167"/>
      <c r="W192" s="162"/>
      <c r="X192" s="163">
        <v>0</v>
      </c>
      <c r="Y192" s="168"/>
      <c r="Z192" s="170"/>
    </row>
    <row r="193" spans="1:26" x14ac:dyDescent="0.3">
      <c r="A193" s="154"/>
      <c r="B193" s="155"/>
      <c r="C193" s="155"/>
      <c r="D193" s="155"/>
      <c r="E193" s="156"/>
      <c r="F193" s="157"/>
      <c r="G193" s="158"/>
      <c r="H193" s="159"/>
      <c r="I193" s="160"/>
      <c r="J193" s="161"/>
      <c r="K193" s="162"/>
      <c r="L193" s="163">
        <v>0</v>
      </c>
      <c r="M193" s="163">
        <v>0</v>
      </c>
      <c r="N193" s="164">
        <f t="shared" si="110"/>
        <v>0</v>
      </c>
      <c r="O193" s="165"/>
      <c r="P193" s="166"/>
      <c r="Q193" s="166"/>
      <c r="R193" s="166"/>
      <c r="S193" s="166"/>
      <c r="T193" s="162"/>
      <c r="U193" s="163">
        <v>0</v>
      </c>
      <c r="V193" s="167"/>
      <c r="W193" s="162"/>
      <c r="X193" s="163">
        <v>0</v>
      </c>
      <c r="Y193" s="168"/>
      <c r="Z193" s="170"/>
    </row>
    <row r="194" spans="1:26" x14ac:dyDescent="0.3">
      <c r="A194" s="154"/>
      <c r="B194" s="155"/>
      <c r="C194" s="155"/>
      <c r="D194" s="155"/>
      <c r="E194" s="156"/>
      <c r="F194" s="157"/>
      <c r="G194" s="158"/>
      <c r="H194" s="159"/>
      <c r="I194" s="160"/>
      <c r="J194" s="161"/>
      <c r="K194" s="162"/>
      <c r="L194" s="163">
        <v>0</v>
      </c>
      <c r="M194" s="163">
        <v>0</v>
      </c>
      <c r="N194" s="164">
        <f t="shared" si="110"/>
        <v>0</v>
      </c>
      <c r="O194" s="165"/>
      <c r="P194" s="166"/>
      <c r="Q194" s="166"/>
      <c r="R194" s="166"/>
      <c r="S194" s="166"/>
      <c r="T194" s="160"/>
      <c r="U194" s="163">
        <v>0</v>
      </c>
      <c r="V194" s="167"/>
      <c r="W194" s="160"/>
      <c r="X194" s="163">
        <v>0</v>
      </c>
      <c r="Y194" s="168"/>
      <c r="Z194" s="170"/>
    </row>
    <row r="195" spans="1:26" ht="15" thickBot="1" x14ac:dyDescent="0.35">
      <c r="A195" s="171"/>
      <c r="B195" s="172"/>
      <c r="C195" s="172"/>
      <c r="D195" s="172"/>
      <c r="E195" s="173"/>
      <c r="F195" s="174"/>
      <c r="G195" s="175"/>
      <c r="H195" s="176"/>
      <c r="I195" s="179"/>
      <c r="J195" s="184"/>
      <c r="K195" s="185"/>
      <c r="L195" s="180">
        <v>0</v>
      </c>
      <c r="M195" s="180">
        <v>0</v>
      </c>
      <c r="N195" s="186">
        <f t="shared" si="110"/>
        <v>0</v>
      </c>
      <c r="O195" s="177"/>
      <c r="P195" s="178"/>
      <c r="Q195" s="178"/>
      <c r="R195" s="178"/>
      <c r="S195" s="178"/>
      <c r="T195" s="179"/>
      <c r="U195" s="180">
        <v>0</v>
      </c>
      <c r="V195" s="181"/>
      <c r="W195" s="179"/>
      <c r="X195" s="180">
        <v>0</v>
      </c>
      <c r="Y195" s="182"/>
      <c r="Z195" s="183"/>
    </row>
    <row r="196" spans="1:26" x14ac:dyDescent="0.3">
      <c r="A196" s="138">
        <v>44071</v>
      </c>
      <c r="B196" s="139"/>
      <c r="C196" s="139"/>
      <c r="D196" s="139">
        <f t="shared" ref="D196" si="143">SUM(C196-B196)</f>
        <v>0</v>
      </c>
      <c r="E196" s="140">
        <f t="shared" ref="E196" si="144">SUM(D196)</f>
        <v>0</v>
      </c>
      <c r="F196" s="141">
        <v>1554</v>
      </c>
      <c r="G196" s="142">
        <f t="shared" ref="G196" si="145">PRODUCT(E196,36000)</f>
        <v>0</v>
      </c>
      <c r="H196" s="143"/>
      <c r="I196" s="144"/>
      <c r="J196" s="145"/>
      <c r="K196" s="146"/>
      <c r="L196" s="147">
        <v>0</v>
      </c>
      <c r="M196" s="147">
        <v>0</v>
      </c>
      <c r="N196" s="148">
        <f t="shared" si="110"/>
        <v>0</v>
      </c>
      <c r="O196" s="149">
        <f t="shared" ref="O196" si="146">SUM(N196:N202)</f>
        <v>0</v>
      </c>
      <c r="P196" s="150"/>
      <c r="Q196" s="150"/>
      <c r="R196" s="150"/>
      <c r="S196" s="150"/>
      <c r="T196" s="146"/>
      <c r="U196" s="147">
        <v>0</v>
      </c>
      <c r="V196" s="151">
        <f t="shared" ref="V196" si="147">U196:U202</f>
        <v>0</v>
      </c>
      <c r="W196" s="146"/>
      <c r="X196" s="147">
        <v>0</v>
      </c>
      <c r="Y196" s="152">
        <f t="shared" ref="Y196" si="148">X196:X202</f>
        <v>0</v>
      </c>
      <c r="Z196" s="153">
        <f t="shared" ref="Z196" si="149">G196+O196+V196-Y196</f>
        <v>0</v>
      </c>
    </row>
    <row r="197" spans="1:26" x14ac:dyDescent="0.3">
      <c r="A197" s="154"/>
      <c r="B197" s="155"/>
      <c r="C197" s="155"/>
      <c r="D197" s="155"/>
      <c r="E197" s="156"/>
      <c r="F197" s="157"/>
      <c r="G197" s="158"/>
      <c r="H197" s="159"/>
      <c r="I197" s="160"/>
      <c r="J197" s="161"/>
      <c r="K197" s="162"/>
      <c r="L197" s="163">
        <v>0</v>
      </c>
      <c r="M197" s="163">
        <v>0</v>
      </c>
      <c r="N197" s="164">
        <f t="shared" si="110"/>
        <v>0</v>
      </c>
      <c r="O197" s="165"/>
      <c r="P197" s="166"/>
      <c r="Q197" s="166"/>
      <c r="R197" s="166"/>
      <c r="S197" s="166"/>
      <c r="T197" s="162"/>
      <c r="U197" s="163">
        <v>0</v>
      </c>
      <c r="V197" s="167"/>
      <c r="W197" s="162"/>
      <c r="X197" s="163">
        <v>0</v>
      </c>
      <c r="Y197" s="168"/>
      <c r="Z197" s="169"/>
    </row>
    <row r="198" spans="1:26" x14ac:dyDescent="0.3">
      <c r="A198" s="154"/>
      <c r="B198" s="155"/>
      <c r="C198" s="155"/>
      <c r="D198" s="155"/>
      <c r="E198" s="156"/>
      <c r="F198" s="157"/>
      <c r="G198" s="158"/>
      <c r="H198" s="159"/>
      <c r="I198" s="160"/>
      <c r="J198" s="161"/>
      <c r="K198" s="162"/>
      <c r="L198" s="163">
        <v>0</v>
      </c>
      <c r="M198" s="163">
        <v>0</v>
      </c>
      <c r="N198" s="164">
        <f t="shared" si="110"/>
        <v>0</v>
      </c>
      <c r="O198" s="165"/>
      <c r="P198" s="166"/>
      <c r="Q198" s="166"/>
      <c r="R198" s="166"/>
      <c r="S198" s="166"/>
      <c r="T198" s="162"/>
      <c r="U198" s="163">
        <v>0</v>
      </c>
      <c r="V198" s="167"/>
      <c r="W198" s="162"/>
      <c r="X198" s="163">
        <v>0</v>
      </c>
      <c r="Y198" s="168"/>
      <c r="Z198" s="169"/>
    </row>
    <row r="199" spans="1:26" x14ac:dyDescent="0.3">
      <c r="A199" s="154"/>
      <c r="B199" s="155"/>
      <c r="C199" s="155"/>
      <c r="D199" s="155"/>
      <c r="E199" s="156"/>
      <c r="F199" s="157"/>
      <c r="G199" s="158"/>
      <c r="H199" s="159"/>
      <c r="I199" s="160"/>
      <c r="J199" s="161"/>
      <c r="K199" s="162"/>
      <c r="L199" s="163">
        <v>0</v>
      </c>
      <c r="M199" s="163">
        <v>0</v>
      </c>
      <c r="N199" s="164">
        <f t="shared" si="110"/>
        <v>0</v>
      </c>
      <c r="O199" s="165"/>
      <c r="P199" s="166"/>
      <c r="Q199" s="166"/>
      <c r="R199" s="166"/>
      <c r="S199" s="166"/>
      <c r="T199" s="162"/>
      <c r="U199" s="163">
        <v>0</v>
      </c>
      <c r="V199" s="167"/>
      <c r="W199" s="162"/>
      <c r="X199" s="163">
        <v>0</v>
      </c>
      <c r="Y199" s="168"/>
      <c r="Z199" s="170"/>
    </row>
    <row r="200" spans="1:26" x14ac:dyDescent="0.3">
      <c r="A200" s="154"/>
      <c r="B200" s="155"/>
      <c r="C200" s="155"/>
      <c r="D200" s="155"/>
      <c r="E200" s="156"/>
      <c r="F200" s="157"/>
      <c r="G200" s="158"/>
      <c r="H200" s="159"/>
      <c r="I200" s="160"/>
      <c r="J200" s="161"/>
      <c r="K200" s="162"/>
      <c r="L200" s="163">
        <v>0</v>
      </c>
      <c r="M200" s="163">
        <v>0</v>
      </c>
      <c r="N200" s="164">
        <f t="shared" si="110"/>
        <v>0</v>
      </c>
      <c r="O200" s="165"/>
      <c r="P200" s="166"/>
      <c r="Q200" s="166"/>
      <c r="R200" s="166"/>
      <c r="S200" s="166"/>
      <c r="T200" s="162"/>
      <c r="U200" s="163">
        <v>0</v>
      </c>
      <c r="V200" s="167"/>
      <c r="W200" s="162"/>
      <c r="X200" s="163">
        <v>0</v>
      </c>
      <c r="Y200" s="168"/>
      <c r="Z200" s="170"/>
    </row>
    <row r="201" spans="1:26" x14ac:dyDescent="0.3">
      <c r="A201" s="154"/>
      <c r="B201" s="155"/>
      <c r="C201" s="155"/>
      <c r="D201" s="155"/>
      <c r="E201" s="156"/>
      <c r="F201" s="157"/>
      <c r="G201" s="158"/>
      <c r="H201" s="159"/>
      <c r="I201" s="160"/>
      <c r="J201" s="161"/>
      <c r="K201" s="162"/>
      <c r="L201" s="163">
        <v>0</v>
      </c>
      <c r="M201" s="163">
        <v>0</v>
      </c>
      <c r="N201" s="164">
        <f t="shared" si="110"/>
        <v>0</v>
      </c>
      <c r="O201" s="165"/>
      <c r="P201" s="166"/>
      <c r="Q201" s="166"/>
      <c r="R201" s="166"/>
      <c r="S201" s="166"/>
      <c r="T201" s="160"/>
      <c r="U201" s="163">
        <v>0</v>
      </c>
      <c r="V201" s="167"/>
      <c r="W201" s="160"/>
      <c r="X201" s="163">
        <v>0</v>
      </c>
      <c r="Y201" s="168"/>
      <c r="Z201" s="170"/>
    </row>
    <row r="202" spans="1:26" ht="15" thickBot="1" x14ac:dyDescent="0.35">
      <c r="A202" s="171"/>
      <c r="B202" s="172"/>
      <c r="C202" s="172"/>
      <c r="D202" s="172"/>
      <c r="E202" s="173"/>
      <c r="F202" s="174"/>
      <c r="G202" s="175"/>
      <c r="H202" s="176"/>
      <c r="I202" s="179"/>
      <c r="J202" s="184"/>
      <c r="K202" s="185"/>
      <c r="L202" s="180">
        <v>0</v>
      </c>
      <c r="M202" s="180">
        <v>0</v>
      </c>
      <c r="N202" s="186">
        <f t="shared" si="110"/>
        <v>0</v>
      </c>
      <c r="O202" s="177"/>
      <c r="P202" s="178"/>
      <c r="Q202" s="178"/>
      <c r="R202" s="178"/>
      <c r="S202" s="178"/>
      <c r="T202" s="179"/>
      <c r="U202" s="180">
        <v>0</v>
      </c>
      <c r="V202" s="181"/>
      <c r="W202" s="179"/>
      <c r="X202" s="180">
        <v>0</v>
      </c>
      <c r="Y202" s="182"/>
      <c r="Z202" s="183"/>
    </row>
    <row r="203" spans="1:26" ht="24" customHeight="1" thickBot="1" x14ac:dyDescent="0.35">
      <c r="A203" s="187" t="s">
        <v>23</v>
      </c>
      <c r="B203" s="188"/>
      <c r="C203" s="188"/>
      <c r="D203" s="188"/>
      <c r="E203" s="189"/>
      <c r="F203" s="190"/>
      <c r="G203" s="191">
        <f>SUM(G182:G202)</f>
        <v>0</v>
      </c>
      <c r="H203" s="192"/>
      <c r="I203" s="193"/>
      <c r="J203" s="194"/>
      <c r="K203" s="193"/>
      <c r="L203" s="195"/>
      <c r="M203" s="195"/>
      <c r="N203" s="196"/>
      <c r="O203" s="197">
        <f>SUM(O182:O202)</f>
        <v>0</v>
      </c>
      <c r="P203" s="193"/>
      <c r="Q203" s="193"/>
      <c r="R203" s="193"/>
      <c r="S203" s="193"/>
      <c r="T203" s="193"/>
      <c r="U203" s="195"/>
      <c r="V203" s="198"/>
      <c r="W203" s="193"/>
      <c r="X203" s="195"/>
      <c r="Y203" s="199"/>
      <c r="Z203" s="197">
        <f>SUM(Z182:Z202)</f>
        <v>0</v>
      </c>
    </row>
    <row r="204" spans="1:26" x14ac:dyDescent="0.3">
      <c r="A204" s="138">
        <v>44072</v>
      </c>
      <c r="B204" s="139"/>
      <c r="C204" s="139"/>
      <c r="D204" s="139">
        <f t="shared" ref="D204" si="150">SUM(C204-B204)</f>
        <v>0</v>
      </c>
      <c r="E204" s="140">
        <f t="shared" ref="E204" si="151">SUM(D204)</f>
        <v>0</v>
      </c>
      <c r="F204" s="141">
        <v>1555</v>
      </c>
      <c r="G204" s="142">
        <f t="shared" ref="G204" si="152">PRODUCT(E204,36000)</f>
        <v>0</v>
      </c>
      <c r="H204" s="143"/>
      <c r="I204" s="144"/>
      <c r="J204" s="145"/>
      <c r="K204" s="146"/>
      <c r="L204" s="147">
        <v>0</v>
      </c>
      <c r="M204" s="147">
        <v>0</v>
      </c>
      <c r="N204" s="148">
        <f t="shared" si="110"/>
        <v>0</v>
      </c>
      <c r="O204" s="149">
        <f t="shared" ref="O204" si="153">SUM(N204:N210)</f>
        <v>0</v>
      </c>
      <c r="P204" s="150"/>
      <c r="Q204" s="150"/>
      <c r="R204" s="150"/>
      <c r="S204" s="150"/>
      <c r="T204" s="146"/>
      <c r="U204" s="147">
        <v>0</v>
      </c>
      <c r="V204" s="151">
        <f t="shared" ref="V204" si="154">U204:U210</f>
        <v>0</v>
      </c>
      <c r="W204" s="146"/>
      <c r="X204" s="147">
        <v>0</v>
      </c>
      <c r="Y204" s="152">
        <f t="shared" ref="Y204" si="155">X204:X210</f>
        <v>0</v>
      </c>
      <c r="Z204" s="153">
        <f t="shared" ref="Z204" si="156">G204+O204+V204-Y204</f>
        <v>0</v>
      </c>
    </row>
    <row r="205" spans="1:26" x14ac:dyDescent="0.3">
      <c r="A205" s="154"/>
      <c r="B205" s="155"/>
      <c r="C205" s="155"/>
      <c r="D205" s="155"/>
      <c r="E205" s="156"/>
      <c r="F205" s="157"/>
      <c r="G205" s="158"/>
      <c r="H205" s="159"/>
      <c r="I205" s="160"/>
      <c r="J205" s="161"/>
      <c r="K205" s="162"/>
      <c r="L205" s="163">
        <v>0</v>
      </c>
      <c r="M205" s="163">
        <v>0</v>
      </c>
      <c r="N205" s="164">
        <f t="shared" si="110"/>
        <v>0</v>
      </c>
      <c r="O205" s="165"/>
      <c r="P205" s="166"/>
      <c r="Q205" s="166"/>
      <c r="R205" s="166"/>
      <c r="S205" s="166"/>
      <c r="T205" s="162"/>
      <c r="U205" s="163">
        <v>0</v>
      </c>
      <c r="V205" s="167"/>
      <c r="W205" s="162"/>
      <c r="X205" s="163">
        <v>0</v>
      </c>
      <c r="Y205" s="168"/>
      <c r="Z205" s="169"/>
    </row>
    <row r="206" spans="1:26" x14ac:dyDescent="0.3">
      <c r="A206" s="154"/>
      <c r="B206" s="155"/>
      <c r="C206" s="155"/>
      <c r="D206" s="155"/>
      <c r="E206" s="156"/>
      <c r="F206" s="157"/>
      <c r="G206" s="158"/>
      <c r="H206" s="159"/>
      <c r="I206" s="160"/>
      <c r="J206" s="161"/>
      <c r="K206" s="162"/>
      <c r="L206" s="163">
        <v>0</v>
      </c>
      <c r="M206" s="163">
        <v>0</v>
      </c>
      <c r="N206" s="164">
        <f t="shared" si="110"/>
        <v>0</v>
      </c>
      <c r="O206" s="165"/>
      <c r="P206" s="166"/>
      <c r="Q206" s="166"/>
      <c r="R206" s="166"/>
      <c r="S206" s="166"/>
      <c r="T206" s="162"/>
      <c r="U206" s="163">
        <v>0</v>
      </c>
      <c r="V206" s="167"/>
      <c r="W206" s="162"/>
      <c r="X206" s="163">
        <v>0</v>
      </c>
      <c r="Y206" s="168"/>
      <c r="Z206" s="169"/>
    </row>
    <row r="207" spans="1:26" x14ac:dyDescent="0.3">
      <c r="A207" s="154"/>
      <c r="B207" s="155"/>
      <c r="C207" s="155"/>
      <c r="D207" s="155"/>
      <c r="E207" s="156"/>
      <c r="F207" s="157"/>
      <c r="G207" s="158"/>
      <c r="H207" s="159"/>
      <c r="I207" s="160"/>
      <c r="J207" s="161"/>
      <c r="K207" s="162"/>
      <c r="L207" s="163">
        <v>0</v>
      </c>
      <c r="M207" s="163">
        <v>0</v>
      </c>
      <c r="N207" s="164">
        <f t="shared" si="110"/>
        <v>0</v>
      </c>
      <c r="O207" s="165"/>
      <c r="P207" s="166"/>
      <c r="Q207" s="166"/>
      <c r="R207" s="166"/>
      <c r="S207" s="166"/>
      <c r="T207" s="162"/>
      <c r="U207" s="163">
        <v>0</v>
      </c>
      <c r="V207" s="167"/>
      <c r="W207" s="162"/>
      <c r="X207" s="163">
        <v>0</v>
      </c>
      <c r="Y207" s="168"/>
      <c r="Z207" s="170"/>
    </row>
    <row r="208" spans="1:26" x14ac:dyDescent="0.3">
      <c r="A208" s="154"/>
      <c r="B208" s="155"/>
      <c r="C208" s="155"/>
      <c r="D208" s="155"/>
      <c r="E208" s="156"/>
      <c r="F208" s="157"/>
      <c r="G208" s="158"/>
      <c r="H208" s="159"/>
      <c r="I208" s="160"/>
      <c r="J208" s="161"/>
      <c r="K208" s="162"/>
      <c r="L208" s="163">
        <v>0</v>
      </c>
      <c r="M208" s="163">
        <v>0</v>
      </c>
      <c r="N208" s="164">
        <f t="shared" si="110"/>
        <v>0</v>
      </c>
      <c r="O208" s="165"/>
      <c r="P208" s="166"/>
      <c r="Q208" s="166"/>
      <c r="R208" s="166"/>
      <c r="S208" s="166"/>
      <c r="T208" s="162"/>
      <c r="U208" s="163">
        <v>0</v>
      </c>
      <c r="V208" s="167"/>
      <c r="W208" s="162"/>
      <c r="X208" s="163">
        <v>0</v>
      </c>
      <c r="Y208" s="168"/>
      <c r="Z208" s="170"/>
    </row>
    <row r="209" spans="1:26" x14ac:dyDescent="0.3">
      <c r="A209" s="154"/>
      <c r="B209" s="155"/>
      <c r="C209" s="155"/>
      <c r="D209" s="155"/>
      <c r="E209" s="156"/>
      <c r="F209" s="157"/>
      <c r="G209" s="158"/>
      <c r="H209" s="159"/>
      <c r="I209" s="160"/>
      <c r="J209" s="161"/>
      <c r="K209" s="162"/>
      <c r="L209" s="163">
        <v>0</v>
      </c>
      <c r="M209" s="163">
        <v>0</v>
      </c>
      <c r="N209" s="164">
        <f t="shared" si="110"/>
        <v>0</v>
      </c>
      <c r="O209" s="165"/>
      <c r="P209" s="166"/>
      <c r="Q209" s="166"/>
      <c r="R209" s="166"/>
      <c r="S209" s="166"/>
      <c r="T209" s="160"/>
      <c r="U209" s="163">
        <v>0</v>
      </c>
      <c r="V209" s="167"/>
      <c r="W209" s="160"/>
      <c r="X209" s="163">
        <v>0</v>
      </c>
      <c r="Y209" s="168"/>
      <c r="Z209" s="170"/>
    </row>
    <row r="210" spans="1:26" ht="15" thickBot="1" x14ac:dyDescent="0.35">
      <c r="A210" s="171"/>
      <c r="B210" s="172"/>
      <c r="C210" s="172"/>
      <c r="D210" s="172"/>
      <c r="E210" s="173"/>
      <c r="F210" s="174"/>
      <c r="G210" s="175"/>
      <c r="H210" s="176"/>
      <c r="I210" s="179"/>
      <c r="J210" s="184"/>
      <c r="K210" s="185"/>
      <c r="L210" s="180">
        <v>0</v>
      </c>
      <c r="M210" s="180">
        <v>0</v>
      </c>
      <c r="N210" s="186">
        <f t="shared" si="110"/>
        <v>0</v>
      </c>
      <c r="O210" s="177"/>
      <c r="P210" s="178"/>
      <c r="Q210" s="178"/>
      <c r="R210" s="178"/>
      <c r="S210" s="178"/>
      <c r="T210" s="179"/>
      <c r="U210" s="180">
        <v>0</v>
      </c>
      <c r="V210" s="181"/>
      <c r="W210" s="179"/>
      <c r="X210" s="180">
        <v>0</v>
      </c>
      <c r="Y210" s="182"/>
      <c r="Z210" s="183"/>
    </row>
    <row r="211" spans="1:26" x14ac:dyDescent="0.3">
      <c r="A211" s="138">
        <v>44073</v>
      </c>
      <c r="B211" s="139"/>
      <c r="C211" s="139"/>
      <c r="D211" s="139">
        <f t="shared" ref="D211" si="157">SUM(C211-B211)</f>
        <v>0</v>
      </c>
      <c r="E211" s="140">
        <f t="shared" ref="E211" si="158">SUM(D211)</f>
        <v>0</v>
      </c>
      <c r="F211" s="141">
        <v>1556</v>
      </c>
      <c r="G211" s="142">
        <f t="shared" ref="G211" si="159">PRODUCT(E211,36000)</f>
        <v>0</v>
      </c>
      <c r="H211" s="143"/>
      <c r="I211" s="144"/>
      <c r="J211" s="145"/>
      <c r="K211" s="146"/>
      <c r="L211" s="147">
        <v>0</v>
      </c>
      <c r="M211" s="147">
        <v>0</v>
      </c>
      <c r="N211" s="148">
        <f t="shared" si="110"/>
        <v>0</v>
      </c>
      <c r="O211" s="149">
        <f t="shared" ref="O211" si="160">SUM(N211:N217)</f>
        <v>0</v>
      </c>
      <c r="P211" s="150"/>
      <c r="Q211" s="150"/>
      <c r="R211" s="150"/>
      <c r="S211" s="150"/>
      <c r="T211" s="146"/>
      <c r="U211" s="147">
        <v>0</v>
      </c>
      <c r="V211" s="151">
        <f t="shared" ref="V211" si="161">U211:U217</f>
        <v>0</v>
      </c>
      <c r="W211" s="146"/>
      <c r="X211" s="147">
        <v>0</v>
      </c>
      <c r="Y211" s="152">
        <f t="shared" ref="Y211" si="162">X211:X217</f>
        <v>0</v>
      </c>
      <c r="Z211" s="153">
        <f t="shared" ref="Z211" si="163">G211+O211+V211-Y211</f>
        <v>0</v>
      </c>
    </row>
    <row r="212" spans="1:26" x14ac:dyDescent="0.3">
      <c r="A212" s="154"/>
      <c r="B212" s="155"/>
      <c r="C212" s="155"/>
      <c r="D212" s="155"/>
      <c r="E212" s="156"/>
      <c r="F212" s="157"/>
      <c r="G212" s="158"/>
      <c r="H212" s="159"/>
      <c r="I212" s="160"/>
      <c r="J212" s="161"/>
      <c r="K212" s="162"/>
      <c r="L212" s="163">
        <v>0</v>
      </c>
      <c r="M212" s="163">
        <v>0</v>
      </c>
      <c r="N212" s="164">
        <f t="shared" si="110"/>
        <v>0</v>
      </c>
      <c r="O212" s="165"/>
      <c r="P212" s="166"/>
      <c r="Q212" s="166"/>
      <c r="R212" s="166"/>
      <c r="S212" s="166"/>
      <c r="T212" s="162"/>
      <c r="U212" s="163">
        <v>0</v>
      </c>
      <c r="V212" s="167"/>
      <c r="W212" s="162"/>
      <c r="X212" s="163">
        <v>0</v>
      </c>
      <c r="Y212" s="168"/>
      <c r="Z212" s="169"/>
    </row>
    <row r="213" spans="1:26" x14ac:dyDescent="0.3">
      <c r="A213" s="154"/>
      <c r="B213" s="155"/>
      <c r="C213" s="155"/>
      <c r="D213" s="155"/>
      <c r="E213" s="156"/>
      <c r="F213" s="157"/>
      <c r="G213" s="158"/>
      <c r="H213" s="159"/>
      <c r="I213" s="160"/>
      <c r="J213" s="161"/>
      <c r="K213" s="162"/>
      <c r="L213" s="163">
        <v>0</v>
      </c>
      <c r="M213" s="163">
        <v>0</v>
      </c>
      <c r="N213" s="164">
        <f t="shared" si="110"/>
        <v>0</v>
      </c>
      <c r="O213" s="165"/>
      <c r="P213" s="166"/>
      <c r="Q213" s="166"/>
      <c r="R213" s="166"/>
      <c r="S213" s="166"/>
      <c r="T213" s="162"/>
      <c r="U213" s="163">
        <v>0</v>
      </c>
      <c r="V213" s="167"/>
      <c r="W213" s="162"/>
      <c r="X213" s="163">
        <v>0</v>
      </c>
      <c r="Y213" s="168"/>
      <c r="Z213" s="169"/>
    </row>
    <row r="214" spans="1:26" x14ac:dyDescent="0.3">
      <c r="A214" s="154"/>
      <c r="B214" s="155"/>
      <c r="C214" s="155"/>
      <c r="D214" s="155"/>
      <c r="E214" s="156"/>
      <c r="F214" s="157"/>
      <c r="G214" s="158"/>
      <c r="H214" s="159"/>
      <c r="I214" s="160"/>
      <c r="J214" s="161"/>
      <c r="K214" s="162"/>
      <c r="L214" s="163">
        <v>0</v>
      </c>
      <c r="M214" s="163">
        <v>0</v>
      </c>
      <c r="N214" s="164">
        <f t="shared" si="110"/>
        <v>0</v>
      </c>
      <c r="O214" s="165"/>
      <c r="P214" s="166"/>
      <c r="Q214" s="166"/>
      <c r="R214" s="166"/>
      <c r="S214" s="166"/>
      <c r="T214" s="162"/>
      <c r="U214" s="163">
        <v>0</v>
      </c>
      <c r="V214" s="167"/>
      <c r="W214" s="162"/>
      <c r="X214" s="163">
        <v>0</v>
      </c>
      <c r="Y214" s="168"/>
      <c r="Z214" s="170"/>
    </row>
    <row r="215" spans="1:26" x14ac:dyDescent="0.3">
      <c r="A215" s="154"/>
      <c r="B215" s="155"/>
      <c r="C215" s="155"/>
      <c r="D215" s="155"/>
      <c r="E215" s="156"/>
      <c r="F215" s="157"/>
      <c r="G215" s="158"/>
      <c r="H215" s="159"/>
      <c r="I215" s="160"/>
      <c r="J215" s="161"/>
      <c r="K215" s="162"/>
      <c r="L215" s="163">
        <v>0</v>
      </c>
      <c r="M215" s="163">
        <v>0</v>
      </c>
      <c r="N215" s="164">
        <f t="shared" si="110"/>
        <v>0</v>
      </c>
      <c r="O215" s="165"/>
      <c r="P215" s="166"/>
      <c r="Q215" s="166"/>
      <c r="R215" s="166"/>
      <c r="S215" s="166"/>
      <c r="T215" s="162"/>
      <c r="U215" s="163">
        <v>0</v>
      </c>
      <c r="V215" s="167"/>
      <c r="W215" s="162"/>
      <c r="X215" s="163">
        <v>0</v>
      </c>
      <c r="Y215" s="168"/>
      <c r="Z215" s="170"/>
    </row>
    <row r="216" spans="1:26" x14ac:dyDescent="0.3">
      <c r="A216" s="154"/>
      <c r="B216" s="155"/>
      <c r="C216" s="155"/>
      <c r="D216" s="155"/>
      <c r="E216" s="156"/>
      <c r="F216" s="157"/>
      <c r="G216" s="158"/>
      <c r="H216" s="159"/>
      <c r="I216" s="160"/>
      <c r="J216" s="161"/>
      <c r="K216" s="162"/>
      <c r="L216" s="163">
        <v>0</v>
      </c>
      <c r="M216" s="163">
        <v>0</v>
      </c>
      <c r="N216" s="164">
        <f t="shared" si="110"/>
        <v>0</v>
      </c>
      <c r="O216" s="165"/>
      <c r="P216" s="166"/>
      <c r="Q216" s="166"/>
      <c r="R216" s="166"/>
      <c r="S216" s="166"/>
      <c r="T216" s="160"/>
      <c r="U216" s="163">
        <v>0</v>
      </c>
      <c r="V216" s="167"/>
      <c r="W216" s="160"/>
      <c r="X216" s="163">
        <v>0</v>
      </c>
      <c r="Y216" s="168"/>
      <c r="Z216" s="170"/>
    </row>
    <row r="217" spans="1:26" ht="15" thickBot="1" x14ac:dyDescent="0.35">
      <c r="A217" s="171"/>
      <c r="B217" s="172"/>
      <c r="C217" s="172"/>
      <c r="D217" s="172"/>
      <c r="E217" s="173"/>
      <c r="F217" s="174"/>
      <c r="G217" s="175"/>
      <c r="H217" s="176"/>
      <c r="I217" s="179"/>
      <c r="J217" s="184"/>
      <c r="K217" s="185"/>
      <c r="L217" s="180">
        <v>0</v>
      </c>
      <c r="M217" s="180">
        <v>0</v>
      </c>
      <c r="N217" s="186">
        <f t="shared" si="110"/>
        <v>0</v>
      </c>
      <c r="O217" s="177"/>
      <c r="P217" s="178"/>
      <c r="Q217" s="178"/>
      <c r="R217" s="178"/>
      <c r="S217" s="178"/>
      <c r="T217" s="179"/>
      <c r="U217" s="180">
        <v>0</v>
      </c>
      <c r="V217" s="181"/>
      <c r="W217" s="179"/>
      <c r="X217" s="180">
        <v>0</v>
      </c>
      <c r="Y217" s="182"/>
      <c r="Z217" s="183"/>
    </row>
    <row r="218" spans="1:26" x14ac:dyDescent="0.3">
      <c r="A218" s="138">
        <v>44074</v>
      </c>
      <c r="B218" s="139"/>
      <c r="C218" s="139"/>
      <c r="D218" s="139">
        <f t="shared" ref="D218" si="164">SUM(C218-B218)</f>
        <v>0</v>
      </c>
      <c r="E218" s="140">
        <f t="shared" ref="E218" si="165">SUM(D218)</f>
        <v>0</v>
      </c>
      <c r="F218" s="141">
        <v>1557</v>
      </c>
      <c r="G218" s="142">
        <f t="shared" ref="G218" si="166">PRODUCT(E218,36000)</f>
        <v>0</v>
      </c>
      <c r="H218" s="143"/>
      <c r="I218" s="144"/>
      <c r="J218" s="145"/>
      <c r="K218" s="146"/>
      <c r="L218" s="147">
        <v>0</v>
      </c>
      <c r="M218" s="147">
        <v>0</v>
      </c>
      <c r="N218" s="148">
        <f t="shared" si="110"/>
        <v>0</v>
      </c>
      <c r="O218" s="149">
        <f t="shared" ref="O218" si="167">SUM(N218:N224)</f>
        <v>0</v>
      </c>
      <c r="P218" s="150"/>
      <c r="Q218" s="150"/>
      <c r="R218" s="150"/>
      <c r="S218" s="150"/>
      <c r="T218" s="146"/>
      <c r="U218" s="147">
        <v>0</v>
      </c>
      <c r="V218" s="151">
        <f t="shared" ref="V218" si="168">U218:U224</f>
        <v>0</v>
      </c>
      <c r="W218" s="146"/>
      <c r="X218" s="147">
        <v>0</v>
      </c>
      <c r="Y218" s="152">
        <f t="shared" ref="Y218" si="169">X218:X224</f>
        <v>0</v>
      </c>
      <c r="Z218" s="153">
        <f t="shared" ref="Z218" si="170">G218+O218+V218-Y218</f>
        <v>0</v>
      </c>
    </row>
    <row r="219" spans="1:26" x14ac:dyDescent="0.3">
      <c r="A219" s="154"/>
      <c r="B219" s="155"/>
      <c r="C219" s="155"/>
      <c r="D219" s="155"/>
      <c r="E219" s="156"/>
      <c r="F219" s="157"/>
      <c r="G219" s="158"/>
      <c r="H219" s="159"/>
      <c r="I219" s="160"/>
      <c r="J219" s="161"/>
      <c r="K219" s="162"/>
      <c r="L219" s="163">
        <v>0</v>
      </c>
      <c r="M219" s="163">
        <v>0</v>
      </c>
      <c r="N219" s="164">
        <f t="shared" si="110"/>
        <v>0</v>
      </c>
      <c r="O219" s="165"/>
      <c r="P219" s="166"/>
      <c r="Q219" s="166"/>
      <c r="R219" s="166"/>
      <c r="S219" s="166"/>
      <c r="T219" s="162"/>
      <c r="U219" s="163">
        <v>0</v>
      </c>
      <c r="V219" s="167"/>
      <c r="W219" s="162"/>
      <c r="X219" s="163">
        <v>0</v>
      </c>
      <c r="Y219" s="168"/>
      <c r="Z219" s="169"/>
    </row>
    <row r="220" spans="1:26" x14ac:dyDescent="0.3">
      <c r="A220" s="154"/>
      <c r="B220" s="155"/>
      <c r="C220" s="155"/>
      <c r="D220" s="155"/>
      <c r="E220" s="156"/>
      <c r="F220" s="157"/>
      <c r="G220" s="158"/>
      <c r="H220" s="159"/>
      <c r="I220" s="160"/>
      <c r="J220" s="161"/>
      <c r="K220" s="162"/>
      <c r="L220" s="163">
        <v>0</v>
      </c>
      <c r="M220" s="163">
        <v>0</v>
      </c>
      <c r="N220" s="164">
        <f t="shared" si="110"/>
        <v>0</v>
      </c>
      <c r="O220" s="165"/>
      <c r="P220" s="166"/>
      <c r="Q220" s="166"/>
      <c r="R220" s="166"/>
      <c r="S220" s="166"/>
      <c r="T220" s="162"/>
      <c r="U220" s="163">
        <v>0</v>
      </c>
      <c r="V220" s="167"/>
      <c r="W220" s="162"/>
      <c r="X220" s="163">
        <v>0</v>
      </c>
      <c r="Y220" s="168"/>
      <c r="Z220" s="169"/>
    </row>
    <row r="221" spans="1:26" x14ac:dyDescent="0.3">
      <c r="A221" s="154"/>
      <c r="B221" s="155"/>
      <c r="C221" s="155"/>
      <c r="D221" s="155"/>
      <c r="E221" s="156"/>
      <c r="F221" s="157"/>
      <c r="G221" s="158"/>
      <c r="H221" s="159"/>
      <c r="I221" s="160"/>
      <c r="J221" s="161"/>
      <c r="K221" s="162"/>
      <c r="L221" s="163">
        <v>0</v>
      </c>
      <c r="M221" s="163">
        <v>0</v>
      </c>
      <c r="N221" s="164">
        <f t="shared" si="110"/>
        <v>0</v>
      </c>
      <c r="O221" s="165"/>
      <c r="P221" s="166"/>
      <c r="Q221" s="166"/>
      <c r="R221" s="166"/>
      <c r="S221" s="166"/>
      <c r="T221" s="162"/>
      <c r="U221" s="163">
        <v>0</v>
      </c>
      <c r="V221" s="167"/>
      <c r="W221" s="162"/>
      <c r="X221" s="163">
        <v>0</v>
      </c>
      <c r="Y221" s="168"/>
      <c r="Z221" s="170"/>
    </row>
    <row r="222" spans="1:26" x14ac:dyDescent="0.3">
      <c r="A222" s="154"/>
      <c r="B222" s="155"/>
      <c r="C222" s="155"/>
      <c r="D222" s="155"/>
      <c r="E222" s="156"/>
      <c r="F222" s="157"/>
      <c r="G222" s="158"/>
      <c r="H222" s="159"/>
      <c r="I222" s="160"/>
      <c r="J222" s="161"/>
      <c r="K222" s="162"/>
      <c r="L222" s="163">
        <v>0</v>
      </c>
      <c r="M222" s="163">
        <v>0</v>
      </c>
      <c r="N222" s="164">
        <f t="shared" si="110"/>
        <v>0</v>
      </c>
      <c r="O222" s="165"/>
      <c r="P222" s="166"/>
      <c r="Q222" s="166"/>
      <c r="R222" s="166"/>
      <c r="S222" s="166"/>
      <c r="T222" s="162"/>
      <c r="U222" s="163">
        <v>0</v>
      </c>
      <c r="V222" s="167"/>
      <c r="W222" s="162"/>
      <c r="X222" s="163">
        <v>0</v>
      </c>
      <c r="Y222" s="168"/>
      <c r="Z222" s="170"/>
    </row>
    <row r="223" spans="1:26" x14ac:dyDescent="0.3">
      <c r="A223" s="154"/>
      <c r="B223" s="155"/>
      <c r="C223" s="155"/>
      <c r="D223" s="155"/>
      <c r="E223" s="156"/>
      <c r="F223" s="157"/>
      <c r="G223" s="158"/>
      <c r="H223" s="159"/>
      <c r="I223" s="160"/>
      <c r="J223" s="161"/>
      <c r="K223" s="162"/>
      <c r="L223" s="163">
        <v>0</v>
      </c>
      <c r="M223" s="163">
        <v>0</v>
      </c>
      <c r="N223" s="164">
        <f t="shared" si="110"/>
        <v>0</v>
      </c>
      <c r="O223" s="165"/>
      <c r="P223" s="166"/>
      <c r="Q223" s="166"/>
      <c r="R223" s="166"/>
      <c r="S223" s="166"/>
      <c r="T223" s="160"/>
      <c r="U223" s="163">
        <v>0</v>
      </c>
      <c r="V223" s="167"/>
      <c r="W223" s="160"/>
      <c r="X223" s="163">
        <v>0</v>
      </c>
      <c r="Y223" s="168"/>
      <c r="Z223" s="170"/>
    </row>
    <row r="224" spans="1:26" ht="15" thickBot="1" x14ac:dyDescent="0.35">
      <c r="A224" s="171"/>
      <c r="B224" s="172"/>
      <c r="C224" s="172"/>
      <c r="D224" s="172"/>
      <c r="E224" s="173"/>
      <c r="F224" s="174"/>
      <c r="G224" s="175"/>
      <c r="H224" s="176"/>
      <c r="I224" s="179"/>
      <c r="J224" s="184"/>
      <c r="K224" s="185"/>
      <c r="L224" s="180">
        <v>0</v>
      </c>
      <c r="M224" s="180">
        <v>0</v>
      </c>
      <c r="N224" s="186">
        <f t="shared" si="110"/>
        <v>0</v>
      </c>
      <c r="O224" s="177"/>
      <c r="P224" s="178"/>
      <c r="Q224" s="178"/>
      <c r="R224" s="178"/>
      <c r="S224" s="178"/>
      <c r="T224" s="179"/>
      <c r="U224" s="180">
        <v>0</v>
      </c>
      <c r="V224" s="181"/>
      <c r="W224" s="179"/>
      <c r="X224" s="180">
        <v>0</v>
      </c>
      <c r="Y224" s="182"/>
      <c r="Z224" s="183"/>
    </row>
    <row r="225" spans="1:26" x14ac:dyDescent="0.3">
      <c r="A225" s="138">
        <v>44075</v>
      </c>
      <c r="B225" s="139"/>
      <c r="C225" s="139"/>
      <c r="D225" s="139">
        <f t="shared" ref="D225" si="171">SUM(C225-B225)</f>
        <v>0</v>
      </c>
      <c r="E225" s="140">
        <f t="shared" ref="E225" si="172">SUM(D225)</f>
        <v>0</v>
      </c>
      <c r="F225" s="141">
        <v>1558</v>
      </c>
      <c r="G225" s="142">
        <f t="shared" ref="G225" si="173">PRODUCT(E225,36000)</f>
        <v>0</v>
      </c>
      <c r="H225" s="143"/>
      <c r="I225" s="144"/>
      <c r="J225" s="145"/>
      <c r="K225" s="146"/>
      <c r="L225" s="147">
        <v>0</v>
      </c>
      <c r="M225" s="147">
        <v>0</v>
      </c>
      <c r="N225" s="148">
        <f t="shared" si="110"/>
        <v>0</v>
      </c>
      <c r="O225" s="149">
        <f t="shared" ref="O225" si="174">SUM(N225:N231)</f>
        <v>0</v>
      </c>
      <c r="P225" s="150"/>
      <c r="Q225" s="150"/>
      <c r="R225" s="150"/>
      <c r="S225" s="150"/>
      <c r="T225" s="146"/>
      <c r="U225" s="147">
        <v>0</v>
      </c>
      <c r="V225" s="151">
        <f t="shared" ref="V225" si="175">U225:U231</f>
        <v>0</v>
      </c>
      <c r="W225" s="146"/>
      <c r="X225" s="147">
        <v>0</v>
      </c>
      <c r="Y225" s="152">
        <f t="shared" ref="Y225" si="176">X225:X231</f>
        <v>0</v>
      </c>
      <c r="Z225" s="153">
        <f t="shared" ref="Z225" si="177">G225+O225+V225-Y225</f>
        <v>0</v>
      </c>
    </row>
    <row r="226" spans="1:26" x14ac:dyDescent="0.3">
      <c r="A226" s="154"/>
      <c r="B226" s="155"/>
      <c r="C226" s="155"/>
      <c r="D226" s="155"/>
      <c r="E226" s="156"/>
      <c r="F226" s="157"/>
      <c r="G226" s="158"/>
      <c r="H226" s="159"/>
      <c r="I226" s="160"/>
      <c r="J226" s="161"/>
      <c r="K226" s="162"/>
      <c r="L226" s="163">
        <v>0</v>
      </c>
      <c r="M226" s="163">
        <v>0</v>
      </c>
      <c r="N226" s="164">
        <f t="shared" ref="N226:N252" si="178">SUMPRODUCT(L226,M226)</f>
        <v>0</v>
      </c>
      <c r="O226" s="165"/>
      <c r="P226" s="166"/>
      <c r="Q226" s="166"/>
      <c r="R226" s="166"/>
      <c r="S226" s="166"/>
      <c r="T226" s="162"/>
      <c r="U226" s="163">
        <v>0</v>
      </c>
      <c r="V226" s="167"/>
      <c r="W226" s="162"/>
      <c r="X226" s="163">
        <v>0</v>
      </c>
      <c r="Y226" s="168"/>
      <c r="Z226" s="169"/>
    </row>
    <row r="227" spans="1:26" x14ac:dyDescent="0.3">
      <c r="A227" s="154"/>
      <c r="B227" s="155"/>
      <c r="C227" s="155"/>
      <c r="D227" s="155"/>
      <c r="E227" s="156"/>
      <c r="F227" s="157"/>
      <c r="G227" s="158"/>
      <c r="H227" s="159"/>
      <c r="I227" s="160"/>
      <c r="J227" s="161"/>
      <c r="K227" s="162"/>
      <c r="L227" s="163">
        <v>0</v>
      </c>
      <c r="M227" s="163">
        <v>0</v>
      </c>
      <c r="N227" s="164">
        <f t="shared" si="178"/>
        <v>0</v>
      </c>
      <c r="O227" s="165"/>
      <c r="P227" s="166"/>
      <c r="Q227" s="166"/>
      <c r="R227" s="166"/>
      <c r="S227" s="166"/>
      <c r="T227" s="162"/>
      <c r="U227" s="163">
        <v>0</v>
      </c>
      <c r="V227" s="167"/>
      <c r="W227" s="162"/>
      <c r="X227" s="163">
        <v>0</v>
      </c>
      <c r="Y227" s="168"/>
      <c r="Z227" s="169"/>
    </row>
    <row r="228" spans="1:26" x14ac:dyDescent="0.3">
      <c r="A228" s="154"/>
      <c r="B228" s="155"/>
      <c r="C228" s="155"/>
      <c r="D228" s="155"/>
      <c r="E228" s="156"/>
      <c r="F228" s="157"/>
      <c r="G228" s="158"/>
      <c r="H228" s="159"/>
      <c r="I228" s="160"/>
      <c r="J228" s="161"/>
      <c r="K228" s="162"/>
      <c r="L228" s="163">
        <v>0</v>
      </c>
      <c r="M228" s="163">
        <v>0</v>
      </c>
      <c r="N228" s="164">
        <f t="shared" si="178"/>
        <v>0</v>
      </c>
      <c r="O228" s="165"/>
      <c r="P228" s="166"/>
      <c r="Q228" s="166"/>
      <c r="R228" s="166"/>
      <c r="S228" s="166"/>
      <c r="T228" s="162"/>
      <c r="U228" s="163">
        <v>0</v>
      </c>
      <c r="V228" s="167"/>
      <c r="W228" s="162"/>
      <c r="X228" s="163">
        <v>0</v>
      </c>
      <c r="Y228" s="168"/>
      <c r="Z228" s="170"/>
    </row>
    <row r="229" spans="1:26" x14ac:dyDescent="0.3">
      <c r="A229" s="154"/>
      <c r="B229" s="155"/>
      <c r="C229" s="155"/>
      <c r="D229" s="155"/>
      <c r="E229" s="156"/>
      <c r="F229" s="157"/>
      <c r="G229" s="158"/>
      <c r="H229" s="159"/>
      <c r="I229" s="160"/>
      <c r="J229" s="161"/>
      <c r="K229" s="162"/>
      <c r="L229" s="163">
        <v>0</v>
      </c>
      <c r="M229" s="163">
        <v>0</v>
      </c>
      <c r="N229" s="164">
        <f t="shared" si="178"/>
        <v>0</v>
      </c>
      <c r="O229" s="165"/>
      <c r="P229" s="166"/>
      <c r="Q229" s="166"/>
      <c r="R229" s="166"/>
      <c r="S229" s="166"/>
      <c r="T229" s="162"/>
      <c r="U229" s="163">
        <v>0</v>
      </c>
      <c r="V229" s="167"/>
      <c r="W229" s="162"/>
      <c r="X229" s="163">
        <v>0</v>
      </c>
      <c r="Y229" s="168"/>
      <c r="Z229" s="170"/>
    </row>
    <row r="230" spans="1:26" x14ac:dyDescent="0.3">
      <c r="A230" s="154"/>
      <c r="B230" s="155"/>
      <c r="C230" s="155"/>
      <c r="D230" s="155"/>
      <c r="E230" s="156"/>
      <c r="F230" s="157"/>
      <c r="G230" s="158"/>
      <c r="H230" s="159"/>
      <c r="I230" s="160"/>
      <c r="J230" s="161"/>
      <c r="K230" s="162"/>
      <c r="L230" s="163">
        <v>0</v>
      </c>
      <c r="M230" s="163">
        <v>0</v>
      </c>
      <c r="N230" s="164">
        <f t="shared" si="178"/>
        <v>0</v>
      </c>
      <c r="O230" s="165"/>
      <c r="P230" s="166"/>
      <c r="Q230" s="166"/>
      <c r="R230" s="166"/>
      <c r="S230" s="166"/>
      <c r="T230" s="160"/>
      <c r="U230" s="163">
        <v>0</v>
      </c>
      <c r="V230" s="167"/>
      <c r="W230" s="160"/>
      <c r="X230" s="163">
        <v>0</v>
      </c>
      <c r="Y230" s="168"/>
      <c r="Z230" s="170"/>
    </row>
    <row r="231" spans="1:26" ht="15" thickBot="1" x14ac:dyDescent="0.35">
      <c r="A231" s="171"/>
      <c r="B231" s="172"/>
      <c r="C231" s="172"/>
      <c r="D231" s="172"/>
      <c r="E231" s="173"/>
      <c r="F231" s="174"/>
      <c r="G231" s="175"/>
      <c r="H231" s="176"/>
      <c r="I231" s="179"/>
      <c r="J231" s="184"/>
      <c r="K231" s="185"/>
      <c r="L231" s="180">
        <v>0</v>
      </c>
      <c r="M231" s="180">
        <v>0</v>
      </c>
      <c r="N231" s="186">
        <f t="shared" si="178"/>
        <v>0</v>
      </c>
      <c r="O231" s="177"/>
      <c r="P231" s="178"/>
      <c r="Q231" s="178"/>
      <c r="R231" s="178"/>
      <c r="S231" s="178"/>
      <c r="T231" s="179"/>
      <c r="U231" s="180">
        <v>0</v>
      </c>
      <c r="V231" s="181"/>
      <c r="W231" s="179"/>
      <c r="X231" s="180">
        <v>0</v>
      </c>
      <c r="Y231" s="182"/>
      <c r="Z231" s="183"/>
    </row>
    <row r="232" spans="1:26" x14ac:dyDescent="0.3">
      <c r="A232" s="138">
        <v>44076</v>
      </c>
      <c r="B232" s="139"/>
      <c r="C232" s="139"/>
      <c r="D232" s="139">
        <f t="shared" ref="D232" si="179">SUM(C232-B232)</f>
        <v>0</v>
      </c>
      <c r="E232" s="140">
        <f t="shared" ref="E232" si="180">SUM(D232)</f>
        <v>0</v>
      </c>
      <c r="F232" s="141">
        <v>1559</v>
      </c>
      <c r="G232" s="142">
        <f t="shared" ref="G232" si="181">PRODUCT(E232,36000)</f>
        <v>0</v>
      </c>
      <c r="H232" s="143"/>
      <c r="I232" s="144"/>
      <c r="J232" s="145"/>
      <c r="K232" s="146"/>
      <c r="L232" s="147">
        <v>0</v>
      </c>
      <c r="M232" s="147">
        <v>0</v>
      </c>
      <c r="N232" s="148">
        <f t="shared" si="178"/>
        <v>0</v>
      </c>
      <c r="O232" s="149">
        <f t="shared" ref="O232" si="182">SUM(N232:N238)</f>
        <v>0</v>
      </c>
      <c r="P232" s="150"/>
      <c r="Q232" s="150"/>
      <c r="R232" s="150"/>
      <c r="S232" s="150"/>
      <c r="T232" s="146"/>
      <c r="U232" s="147">
        <v>0</v>
      </c>
      <c r="V232" s="151">
        <f t="shared" ref="V232" si="183">U232:U238</f>
        <v>0</v>
      </c>
      <c r="W232" s="146"/>
      <c r="X232" s="147">
        <v>0</v>
      </c>
      <c r="Y232" s="152">
        <f t="shared" ref="Y232" si="184">X232:X238</f>
        <v>0</v>
      </c>
      <c r="Z232" s="153">
        <f t="shared" ref="Z232" si="185">G232+O232+V232-Y232</f>
        <v>0</v>
      </c>
    </row>
    <row r="233" spans="1:26" x14ac:dyDescent="0.3">
      <c r="A233" s="154"/>
      <c r="B233" s="155"/>
      <c r="C233" s="155"/>
      <c r="D233" s="155"/>
      <c r="E233" s="156"/>
      <c r="F233" s="157"/>
      <c r="G233" s="158"/>
      <c r="H233" s="159"/>
      <c r="I233" s="160"/>
      <c r="J233" s="161"/>
      <c r="K233" s="162"/>
      <c r="L233" s="163">
        <v>0</v>
      </c>
      <c r="M233" s="163">
        <v>0</v>
      </c>
      <c r="N233" s="164">
        <f t="shared" si="178"/>
        <v>0</v>
      </c>
      <c r="O233" s="165"/>
      <c r="P233" s="166"/>
      <c r="Q233" s="166"/>
      <c r="R233" s="166"/>
      <c r="S233" s="166"/>
      <c r="T233" s="162"/>
      <c r="U233" s="163">
        <v>0</v>
      </c>
      <c r="V233" s="167"/>
      <c r="W233" s="162"/>
      <c r="X233" s="163">
        <v>0</v>
      </c>
      <c r="Y233" s="168"/>
      <c r="Z233" s="169"/>
    </row>
    <row r="234" spans="1:26" x14ac:dyDescent="0.3">
      <c r="A234" s="154"/>
      <c r="B234" s="155"/>
      <c r="C234" s="155"/>
      <c r="D234" s="155"/>
      <c r="E234" s="156"/>
      <c r="F234" s="157"/>
      <c r="G234" s="158"/>
      <c r="H234" s="159"/>
      <c r="I234" s="160"/>
      <c r="J234" s="161"/>
      <c r="K234" s="162"/>
      <c r="L234" s="163">
        <v>0</v>
      </c>
      <c r="M234" s="163">
        <v>0</v>
      </c>
      <c r="N234" s="164">
        <f t="shared" si="178"/>
        <v>0</v>
      </c>
      <c r="O234" s="165"/>
      <c r="P234" s="166"/>
      <c r="Q234" s="166"/>
      <c r="R234" s="166"/>
      <c r="S234" s="166"/>
      <c r="T234" s="162"/>
      <c r="U234" s="163">
        <v>0</v>
      </c>
      <c r="V234" s="167"/>
      <c r="W234" s="162"/>
      <c r="X234" s="163">
        <v>0</v>
      </c>
      <c r="Y234" s="168"/>
      <c r="Z234" s="169"/>
    </row>
    <row r="235" spans="1:26" x14ac:dyDescent="0.3">
      <c r="A235" s="154"/>
      <c r="B235" s="155"/>
      <c r="C235" s="155"/>
      <c r="D235" s="155"/>
      <c r="E235" s="156"/>
      <c r="F235" s="157"/>
      <c r="G235" s="158"/>
      <c r="H235" s="159"/>
      <c r="I235" s="160"/>
      <c r="J235" s="161"/>
      <c r="K235" s="162"/>
      <c r="L235" s="163">
        <v>0</v>
      </c>
      <c r="M235" s="163">
        <v>0</v>
      </c>
      <c r="N235" s="164">
        <f t="shared" si="178"/>
        <v>0</v>
      </c>
      <c r="O235" s="165"/>
      <c r="P235" s="166"/>
      <c r="Q235" s="166"/>
      <c r="R235" s="166"/>
      <c r="S235" s="166"/>
      <c r="T235" s="162"/>
      <c r="U235" s="163">
        <v>0</v>
      </c>
      <c r="V235" s="167"/>
      <c r="W235" s="162"/>
      <c r="X235" s="163">
        <v>0</v>
      </c>
      <c r="Y235" s="168"/>
      <c r="Z235" s="170"/>
    </row>
    <row r="236" spans="1:26" x14ac:dyDescent="0.3">
      <c r="A236" s="154"/>
      <c r="B236" s="155"/>
      <c r="C236" s="155"/>
      <c r="D236" s="155"/>
      <c r="E236" s="156"/>
      <c r="F236" s="157"/>
      <c r="G236" s="158"/>
      <c r="H236" s="159"/>
      <c r="I236" s="160"/>
      <c r="J236" s="161"/>
      <c r="K236" s="162"/>
      <c r="L236" s="163">
        <v>0</v>
      </c>
      <c r="M236" s="163">
        <v>0</v>
      </c>
      <c r="N236" s="164">
        <f t="shared" si="178"/>
        <v>0</v>
      </c>
      <c r="O236" s="165"/>
      <c r="P236" s="166"/>
      <c r="Q236" s="166"/>
      <c r="R236" s="166"/>
      <c r="S236" s="166"/>
      <c r="T236" s="162"/>
      <c r="U236" s="163">
        <v>0</v>
      </c>
      <c r="V236" s="167"/>
      <c r="W236" s="162"/>
      <c r="X236" s="163">
        <v>0</v>
      </c>
      <c r="Y236" s="168"/>
      <c r="Z236" s="170"/>
    </row>
    <row r="237" spans="1:26" x14ac:dyDescent="0.3">
      <c r="A237" s="154"/>
      <c r="B237" s="155"/>
      <c r="C237" s="155"/>
      <c r="D237" s="155"/>
      <c r="E237" s="156"/>
      <c r="F237" s="157"/>
      <c r="G237" s="158"/>
      <c r="H237" s="159"/>
      <c r="I237" s="160"/>
      <c r="J237" s="161"/>
      <c r="K237" s="162"/>
      <c r="L237" s="163">
        <v>0</v>
      </c>
      <c r="M237" s="163">
        <v>0</v>
      </c>
      <c r="N237" s="164">
        <f t="shared" si="178"/>
        <v>0</v>
      </c>
      <c r="O237" s="165"/>
      <c r="P237" s="166"/>
      <c r="Q237" s="166"/>
      <c r="R237" s="166"/>
      <c r="S237" s="166"/>
      <c r="T237" s="160"/>
      <c r="U237" s="163">
        <v>0</v>
      </c>
      <c r="V237" s="167"/>
      <c r="W237" s="160"/>
      <c r="X237" s="163">
        <v>0</v>
      </c>
      <c r="Y237" s="168"/>
      <c r="Z237" s="170"/>
    </row>
    <row r="238" spans="1:26" ht="15" thickBot="1" x14ac:dyDescent="0.35">
      <c r="A238" s="171"/>
      <c r="B238" s="172"/>
      <c r="C238" s="172"/>
      <c r="D238" s="172"/>
      <c r="E238" s="173"/>
      <c r="F238" s="174"/>
      <c r="G238" s="175"/>
      <c r="H238" s="176"/>
      <c r="I238" s="179"/>
      <c r="J238" s="184"/>
      <c r="K238" s="185"/>
      <c r="L238" s="180">
        <v>0</v>
      </c>
      <c r="M238" s="180">
        <v>0</v>
      </c>
      <c r="N238" s="186">
        <f t="shared" si="178"/>
        <v>0</v>
      </c>
      <c r="O238" s="177"/>
      <c r="P238" s="178"/>
      <c r="Q238" s="178"/>
      <c r="R238" s="178"/>
      <c r="S238" s="178"/>
      <c r="T238" s="179"/>
      <c r="U238" s="180">
        <v>0</v>
      </c>
      <c r="V238" s="181"/>
      <c r="W238" s="179"/>
      <c r="X238" s="180">
        <v>0</v>
      </c>
      <c r="Y238" s="182"/>
      <c r="Z238" s="183"/>
    </row>
    <row r="239" spans="1:26" x14ac:dyDescent="0.3">
      <c r="A239" s="138">
        <v>44077</v>
      </c>
      <c r="B239" s="139"/>
      <c r="C239" s="139"/>
      <c r="D239" s="139">
        <f t="shared" ref="D239" si="186">SUM(C239-B239)</f>
        <v>0</v>
      </c>
      <c r="E239" s="140">
        <f t="shared" ref="E239" si="187">SUM(D239)</f>
        <v>0</v>
      </c>
      <c r="F239" s="141">
        <v>1560</v>
      </c>
      <c r="G239" s="142">
        <f t="shared" ref="G239" si="188">PRODUCT(E239,36000)</f>
        <v>0</v>
      </c>
      <c r="H239" s="143"/>
      <c r="I239" s="144"/>
      <c r="J239" s="145"/>
      <c r="K239" s="146"/>
      <c r="L239" s="147">
        <v>0</v>
      </c>
      <c r="M239" s="147">
        <v>0</v>
      </c>
      <c r="N239" s="148">
        <f t="shared" si="178"/>
        <v>0</v>
      </c>
      <c r="O239" s="149">
        <f t="shared" ref="O239" si="189">SUM(N239:N245)</f>
        <v>0</v>
      </c>
      <c r="P239" s="150"/>
      <c r="Q239" s="150"/>
      <c r="R239" s="150"/>
      <c r="S239" s="150"/>
      <c r="T239" s="146"/>
      <c r="U239" s="147">
        <v>0</v>
      </c>
      <c r="V239" s="151">
        <f t="shared" ref="V239" si="190">U239:U245</f>
        <v>0</v>
      </c>
      <c r="W239" s="146"/>
      <c r="X239" s="147">
        <v>0</v>
      </c>
      <c r="Y239" s="152">
        <f t="shared" ref="Y239" si="191">X239:X245</f>
        <v>0</v>
      </c>
      <c r="Z239" s="153">
        <f t="shared" ref="Z239" si="192">G239+O239+V239-Y239</f>
        <v>0</v>
      </c>
    </row>
    <row r="240" spans="1:26" x14ac:dyDescent="0.3">
      <c r="A240" s="154"/>
      <c r="B240" s="155"/>
      <c r="C240" s="155"/>
      <c r="D240" s="155"/>
      <c r="E240" s="156"/>
      <c r="F240" s="157"/>
      <c r="G240" s="158"/>
      <c r="H240" s="159"/>
      <c r="I240" s="160"/>
      <c r="J240" s="161"/>
      <c r="K240" s="162"/>
      <c r="L240" s="163">
        <v>0</v>
      </c>
      <c r="M240" s="163">
        <v>0</v>
      </c>
      <c r="N240" s="164">
        <f t="shared" si="178"/>
        <v>0</v>
      </c>
      <c r="O240" s="165"/>
      <c r="P240" s="166"/>
      <c r="Q240" s="166"/>
      <c r="R240" s="166"/>
      <c r="S240" s="166"/>
      <c r="T240" s="162"/>
      <c r="U240" s="163">
        <v>0</v>
      </c>
      <c r="V240" s="167"/>
      <c r="W240" s="162"/>
      <c r="X240" s="163">
        <v>0</v>
      </c>
      <c r="Y240" s="168"/>
      <c r="Z240" s="169"/>
    </row>
    <row r="241" spans="1:26" x14ac:dyDescent="0.3">
      <c r="A241" s="154"/>
      <c r="B241" s="155"/>
      <c r="C241" s="155"/>
      <c r="D241" s="155"/>
      <c r="E241" s="156"/>
      <c r="F241" s="157"/>
      <c r="G241" s="158"/>
      <c r="H241" s="159"/>
      <c r="I241" s="160"/>
      <c r="J241" s="161"/>
      <c r="K241" s="162"/>
      <c r="L241" s="163">
        <v>0</v>
      </c>
      <c r="M241" s="163">
        <v>0</v>
      </c>
      <c r="N241" s="164">
        <f t="shared" si="178"/>
        <v>0</v>
      </c>
      <c r="O241" s="165"/>
      <c r="P241" s="166"/>
      <c r="Q241" s="166"/>
      <c r="R241" s="166"/>
      <c r="S241" s="166"/>
      <c r="T241" s="162"/>
      <c r="U241" s="163">
        <v>0</v>
      </c>
      <c r="V241" s="167"/>
      <c r="W241" s="162"/>
      <c r="X241" s="163">
        <v>0</v>
      </c>
      <c r="Y241" s="168"/>
      <c r="Z241" s="169"/>
    </row>
    <row r="242" spans="1:26" x14ac:dyDescent="0.3">
      <c r="A242" s="154"/>
      <c r="B242" s="155"/>
      <c r="C242" s="155"/>
      <c r="D242" s="155"/>
      <c r="E242" s="156"/>
      <c r="F242" s="157"/>
      <c r="G242" s="158"/>
      <c r="H242" s="159"/>
      <c r="I242" s="160"/>
      <c r="J242" s="161"/>
      <c r="K242" s="162"/>
      <c r="L242" s="163">
        <v>0</v>
      </c>
      <c r="M242" s="163">
        <v>0</v>
      </c>
      <c r="N242" s="164">
        <f t="shared" si="178"/>
        <v>0</v>
      </c>
      <c r="O242" s="165"/>
      <c r="P242" s="166"/>
      <c r="Q242" s="166"/>
      <c r="R242" s="166"/>
      <c r="S242" s="166"/>
      <c r="T242" s="162"/>
      <c r="U242" s="163">
        <v>0</v>
      </c>
      <c r="V242" s="167"/>
      <c r="W242" s="162"/>
      <c r="X242" s="163">
        <v>0</v>
      </c>
      <c r="Y242" s="168"/>
      <c r="Z242" s="170"/>
    </row>
    <row r="243" spans="1:26" x14ac:dyDescent="0.3">
      <c r="A243" s="154"/>
      <c r="B243" s="155"/>
      <c r="C243" s="155"/>
      <c r="D243" s="155"/>
      <c r="E243" s="156"/>
      <c r="F243" s="157"/>
      <c r="G243" s="158"/>
      <c r="H243" s="159"/>
      <c r="I243" s="160"/>
      <c r="J243" s="161"/>
      <c r="K243" s="162"/>
      <c r="L243" s="163">
        <v>0</v>
      </c>
      <c r="M243" s="163">
        <v>0</v>
      </c>
      <c r="N243" s="164">
        <f t="shared" si="178"/>
        <v>0</v>
      </c>
      <c r="O243" s="165"/>
      <c r="P243" s="166"/>
      <c r="Q243" s="166"/>
      <c r="R243" s="166"/>
      <c r="S243" s="166"/>
      <c r="T243" s="162"/>
      <c r="U243" s="163">
        <v>0</v>
      </c>
      <c r="V243" s="167"/>
      <c r="W243" s="162"/>
      <c r="X243" s="163">
        <v>0</v>
      </c>
      <c r="Y243" s="168"/>
      <c r="Z243" s="170"/>
    </row>
    <row r="244" spans="1:26" x14ac:dyDescent="0.3">
      <c r="A244" s="154"/>
      <c r="B244" s="155"/>
      <c r="C244" s="155"/>
      <c r="D244" s="155"/>
      <c r="E244" s="156"/>
      <c r="F244" s="157"/>
      <c r="G244" s="158"/>
      <c r="H244" s="159"/>
      <c r="I244" s="160"/>
      <c r="J244" s="161"/>
      <c r="K244" s="162"/>
      <c r="L244" s="163">
        <v>0</v>
      </c>
      <c r="M244" s="163">
        <v>0</v>
      </c>
      <c r="N244" s="164">
        <f t="shared" si="178"/>
        <v>0</v>
      </c>
      <c r="O244" s="165"/>
      <c r="P244" s="166"/>
      <c r="Q244" s="166"/>
      <c r="R244" s="166"/>
      <c r="S244" s="166"/>
      <c r="T244" s="160"/>
      <c r="U244" s="163">
        <v>0</v>
      </c>
      <c r="V244" s="167"/>
      <c r="W244" s="160"/>
      <c r="X244" s="163">
        <v>0</v>
      </c>
      <c r="Y244" s="168"/>
      <c r="Z244" s="170"/>
    </row>
    <row r="245" spans="1:26" ht="15" thickBot="1" x14ac:dyDescent="0.35">
      <c r="A245" s="171"/>
      <c r="B245" s="172"/>
      <c r="C245" s="172"/>
      <c r="D245" s="172"/>
      <c r="E245" s="173"/>
      <c r="F245" s="174"/>
      <c r="G245" s="175"/>
      <c r="H245" s="176"/>
      <c r="I245" s="179"/>
      <c r="J245" s="184"/>
      <c r="K245" s="185"/>
      <c r="L245" s="180">
        <v>0</v>
      </c>
      <c r="M245" s="180">
        <v>0</v>
      </c>
      <c r="N245" s="186">
        <f t="shared" si="178"/>
        <v>0</v>
      </c>
      <c r="O245" s="177"/>
      <c r="P245" s="178"/>
      <c r="Q245" s="178"/>
      <c r="R245" s="178"/>
      <c r="S245" s="178"/>
      <c r="T245" s="179"/>
      <c r="U245" s="180">
        <v>0</v>
      </c>
      <c r="V245" s="181"/>
      <c r="W245" s="179"/>
      <c r="X245" s="180">
        <v>0</v>
      </c>
      <c r="Y245" s="182"/>
      <c r="Z245" s="183"/>
    </row>
    <row r="246" spans="1:26" x14ac:dyDescent="0.3">
      <c r="A246" s="138">
        <v>44078</v>
      </c>
      <c r="B246" s="139"/>
      <c r="C246" s="139"/>
      <c r="D246" s="139">
        <f t="shared" ref="D246" si="193">SUM(C246-B246)</f>
        <v>0</v>
      </c>
      <c r="E246" s="140">
        <f t="shared" ref="E246" si="194">SUM(D246)</f>
        <v>0</v>
      </c>
      <c r="F246" s="141">
        <v>1561</v>
      </c>
      <c r="G246" s="142">
        <f t="shared" ref="G246" si="195">PRODUCT(E246,36000)</f>
        <v>0</v>
      </c>
      <c r="H246" s="143"/>
      <c r="I246" s="144"/>
      <c r="J246" s="145"/>
      <c r="K246" s="146"/>
      <c r="L246" s="147">
        <v>0</v>
      </c>
      <c r="M246" s="147">
        <v>0</v>
      </c>
      <c r="N246" s="148">
        <f t="shared" si="178"/>
        <v>0</v>
      </c>
      <c r="O246" s="149">
        <f t="shared" ref="O246" si="196">SUM(N246:N252)</f>
        <v>0</v>
      </c>
      <c r="P246" s="150"/>
      <c r="Q246" s="150"/>
      <c r="R246" s="150"/>
      <c r="S246" s="150"/>
      <c r="T246" s="146"/>
      <c r="U246" s="147">
        <v>0</v>
      </c>
      <c r="V246" s="151">
        <f t="shared" ref="V246" si="197">U246:U252</f>
        <v>0</v>
      </c>
      <c r="W246" s="146"/>
      <c r="X246" s="147">
        <v>0</v>
      </c>
      <c r="Y246" s="152">
        <f t="shared" ref="Y246" si="198">X246:X252</f>
        <v>0</v>
      </c>
      <c r="Z246" s="153">
        <f t="shared" ref="Z246" si="199">G246+O246+V246-Y246</f>
        <v>0</v>
      </c>
    </row>
    <row r="247" spans="1:26" x14ac:dyDescent="0.3">
      <c r="A247" s="154"/>
      <c r="B247" s="155"/>
      <c r="C247" s="155"/>
      <c r="D247" s="155"/>
      <c r="E247" s="156"/>
      <c r="F247" s="157"/>
      <c r="G247" s="158"/>
      <c r="H247" s="159"/>
      <c r="I247" s="160"/>
      <c r="J247" s="161"/>
      <c r="K247" s="162"/>
      <c r="L247" s="163">
        <v>0</v>
      </c>
      <c r="M247" s="163">
        <v>0</v>
      </c>
      <c r="N247" s="164">
        <f t="shared" si="178"/>
        <v>0</v>
      </c>
      <c r="O247" s="165"/>
      <c r="P247" s="166"/>
      <c r="Q247" s="166"/>
      <c r="R247" s="166"/>
      <c r="S247" s="166"/>
      <c r="T247" s="162"/>
      <c r="U247" s="163">
        <v>0</v>
      </c>
      <c r="V247" s="167"/>
      <c r="W247" s="162"/>
      <c r="X247" s="163">
        <v>0</v>
      </c>
      <c r="Y247" s="168"/>
      <c r="Z247" s="169"/>
    </row>
    <row r="248" spans="1:26" x14ac:dyDescent="0.3">
      <c r="A248" s="154"/>
      <c r="B248" s="155"/>
      <c r="C248" s="155"/>
      <c r="D248" s="155"/>
      <c r="E248" s="156"/>
      <c r="F248" s="157"/>
      <c r="G248" s="158"/>
      <c r="H248" s="159"/>
      <c r="I248" s="160"/>
      <c r="J248" s="161"/>
      <c r="K248" s="162"/>
      <c r="L248" s="163">
        <v>0</v>
      </c>
      <c r="M248" s="163">
        <v>0</v>
      </c>
      <c r="N248" s="164">
        <f t="shared" si="178"/>
        <v>0</v>
      </c>
      <c r="O248" s="165"/>
      <c r="P248" s="166"/>
      <c r="Q248" s="166"/>
      <c r="R248" s="166"/>
      <c r="S248" s="166"/>
      <c r="T248" s="162"/>
      <c r="U248" s="163">
        <v>0</v>
      </c>
      <c r="V248" s="167"/>
      <c r="W248" s="162"/>
      <c r="X248" s="163">
        <v>0</v>
      </c>
      <c r="Y248" s="168"/>
      <c r="Z248" s="169"/>
    </row>
    <row r="249" spans="1:26" x14ac:dyDescent="0.3">
      <c r="A249" s="154"/>
      <c r="B249" s="155"/>
      <c r="C249" s="155"/>
      <c r="D249" s="155"/>
      <c r="E249" s="156"/>
      <c r="F249" s="157"/>
      <c r="G249" s="158"/>
      <c r="H249" s="159"/>
      <c r="I249" s="160"/>
      <c r="J249" s="161"/>
      <c r="K249" s="162"/>
      <c r="L249" s="163">
        <v>0</v>
      </c>
      <c r="M249" s="163">
        <v>0</v>
      </c>
      <c r="N249" s="164">
        <f t="shared" si="178"/>
        <v>0</v>
      </c>
      <c r="O249" s="165"/>
      <c r="P249" s="166"/>
      <c r="Q249" s="166"/>
      <c r="R249" s="166"/>
      <c r="S249" s="166"/>
      <c r="T249" s="162"/>
      <c r="U249" s="163">
        <v>0</v>
      </c>
      <c r="V249" s="167"/>
      <c r="W249" s="162"/>
      <c r="X249" s="163">
        <v>0</v>
      </c>
      <c r="Y249" s="168"/>
      <c r="Z249" s="170"/>
    </row>
    <row r="250" spans="1:26" x14ac:dyDescent="0.3">
      <c r="A250" s="154"/>
      <c r="B250" s="155"/>
      <c r="C250" s="155"/>
      <c r="D250" s="155"/>
      <c r="E250" s="156"/>
      <c r="F250" s="157"/>
      <c r="G250" s="158"/>
      <c r="H250" s="159"/>
      <c r="I250" s="160"/>
      <c r="J250" s="161"/>
      <c r="K250" s="162"/>
      <c r="L250" s="163">
        <v>0</v>
      </c>
      <c r="M250" s="163">
        <v>0</v>
      </c>
      <c r="N250" s="164">
        <f t="shared" si="178"/>
        <v>0</v>
      </c>
      <c r="O250" s="165"/>
      <c r="P250" s="166"/>
      <c r="Q250" s="166"/>
      <c r="R250" s="166"/>
      <c r="S250" s="166"/>
      <c r="T250" s="162"/>
      <c r="U250" s="163">
        <v>0</v>
      </c>
      <c r="V250" s="167"/>
      <c r="W250" s="162"/>
      <c r="X250" s="163">
        <v>0</v>
      </c>
      <c r="Y250" s="168"/>
      <c r="Z250" s="170"/>
    </row>
    <row r="251" spans="1:26" x14ac:dyDescent="0.3">
      <c r="A251" s="154"/>
      <c r="B251" s="155"/>
      <c r="C251" s="155"/>
      <c r="D251" s="155"/>
      <c r="E251" s="156"/>
      <c r="F251" s="157"/>
      <c r="G251" s="158"/>
      <c r="H251" s="159"/>
      <c r="I251" s="160"/>
      <c r="J251" s="161"/>
      <c r="K251" s="162"/>
      <c r="L251" s="163">
        <v>0</v>
      </c>
      <c r="M251" s="163">
        <v>0</v>
      </c>
      <c r="N251" s="164">
        <f t="shared" si="178"/>
        <v>0</v>
      </c>
      <c r="O251" s="165"/>
      <c r="P251" s="166"/>
      <c r="Q251" s="166"/>
      <c r="R251" s="166"/>
      <c r="S251" s="166"/>
      <c r="T251" s="160"/>
      <c r="U251" s="163">
        <v>0</v>
      </c>
      <c r="V251" s="167"/>
      <c r="W251" s="160"/>
      <c r="X251" s="163">
        <v>0</v>
      </c>
      <c r="Y251" s="168"/>
      <c r="Z251" s="170"/>
    </row>
    <row r="252" spans="1:26" ht="15" thickBot="1" x14ac:dyDescent="0.35">
      <c r="A252" s="171"/>
      <c r="B252" s="172"/>
      <c r="C252" s="172"/>
      <c r="D252" s="172"/>
      <c r="E252" s="173"/>
      <c r="F252" s="174"/>
      <c r="G252" s="175"/>
      <c r="H252" s="176"/>
      <c r="I252" s="179"/>
      <c r="J252" s="184"/>
      <c r="K252" s="185"/>
      <c r="L252" s="180">
        <v>0</v>
      </c>
      <c r="M252" s="180">
        <v>0</v>
      </c>
      <c r="N252" s="186">
        <f t="shared" si="178"/>
        <v>0</v>
      </c>
      <c r="O252" s="177"/>
      <c r="P252" s="178"/>
      <c r="Q252" s="178"/>
      <c r="R252" s="178"/>
      <c r="S252" s="178"/>
      <c r="T252" s="179"/>
      <c r="U252" s="180">
        <v>0</v>
      </c>
      <c r="V252" s="181"/>
      <c r="W252" s="179"/>
      <c r="X252" s="180">
        <v>0</v>
      </c>
      <c r="Y252" s="182"/>
      <c r="Z252" s="183"/>
    </row>
    <row r="253" spans="1:26" ht="24" customHeight="1" x14ac:dyDescent="0.3">
      <c r="A253" s="187" t="s">
        <v>23</v>
      </c>
      <c r="B253" s="188"/>
      <c r="C253" s="188"/>
      <c r="D253" s="188"/>
      <c r="E253" s="189"/>
      <c r="F253" s="190"/>
      <c r="G253" s="191">
        <f>SUM(G232:G252)</f>
        <v>0</v>
      </c>
      <c r="H253" s="192"/>
      <c r="I253" s="193"/>
      <c r="J253" s="194"/>
      <c r="K253" s="193"/>
      <c r="L253" s="195"/>
      <c r="M253" s="195"/>
      <c r="N253" s="196"/>
      <c r="O253" s="197">
        <f>SUM(O232:O252)</f>
        <v>0</v>
      </c>
      <c r="P253" s="193"/>
      <c r="Q253" s="193"/>
      <c r="R253" s="193"/>
      <c r="S253" s="193"/>
      <c r="T253" s="193"/>
      <c r="U253" s="195"/>
      <c r="V253" s="198"/>
      <c r="W253" s="193"/>
      <c r="X253" s="195"/>
      <c r="Y253" s="199"/>
      <c r="Z253" s="197">
        <f>SUM(Z232:Z252)</f>
        <v>0</v>
      </c>
    </row>
  </sheetData>
  <autoFilter ref="A3:Z3"/>
  <mergeCells count="526">
    <mergeCell ref="Q246:Q252"/>
    <mergeCell ref="R246:R252"/>
    <mergeCell ref="S246:S252"/>
    <mergeCell ref="V246:V252"/>
    <mergeCell ref="Y246:Y252"/>
    <mergeCell ref="Z246:Z252"/>
    <mergeCell ref="Z239:Z245"/>
    <mergeCell ref="A246:A252"/>
    <mergeCell ref="B246:B252"/>
    <mergeCell ref="C246:C252"/>
    <mergeCell ref="D246:D252"/>
    <mergeCell ref="E246:E252"/>
    <mergeCell ref="F246:F252"/>
    <mergeCell ref="G246:G252"/>
    <mergeCell ref="O246:O252"/>
    <mergeCell ref="P246:P252"/>
    <mergeCell ref="P239:P245"/>
    <mergeCell ref="Q239:Q245"/>
    <mergeCell ref="R239:R245"/>
    <mergeCell ref="S239:S245"/>
    <mergeCell ref="V239:V245"/>
    <mergeCell ref="Y239:Y245"/>
    <mergeCell ref="Y232:Y238"/>
    <mergeCell ref="Z232:Z238"/>
    <mergeCell ref="A239:A245"/>
    <mergeCell ref="B239:B245"/>
    <mergeCell ref="C239:C245"/>
    <mergeCell ref="D239:D245"/>
    <mergeCell ref="E239:E245"/>
    <mergeCell ref="F239:F245"/>
    <mergeCell ref="G239:G245"/>
    <mergeCell ref="O239:O245"/>
    <mergeCell ref="O232:O238"/>
    <mergeCell ref="P232:P238"/>
    <mergeCell ref="Q232:Q238"/>
    <mergeCell ref="R232:R238"/>
    <mergeCell ref="S232:S238"/>
    <mergeCell ref="V232:V238"/>
    <mergeCell ref="V225:V231"/>
    <mergeCell ref="Y225:Y231"/>
    <mergeCell ref="Z225:Z231"/>
    <mergeCell ref="A232:A238"/>
    <mergeCell ref="B232:B238"/>
    <mergeCell ref="C232:C238"/>
    <mergeCell ref="D232:D238"/>
    <mergeCell ref="E232:E238"/>
    <mergeCell ref="F232:F238"/>
    <mergeCell ref="G232:G238"/>
    <mergeCell ref="G225:G231"/>
    <mergeCell ref="O225:O231"/>
    <mergeCell ref="P225:P231"/>
    <mergeCell ref="Q225:Q231"/>
    <mergeCell ref="R225:R231"/>
    <mergeCell ref="S225:S231"/>
    <mergeCell ref="A225:A231"/>
    <mergeCell ref="B225:B231"/>
    <mergeCell ref="C225:C231"/>
    <mergeCell ref="D225:D231"/>
    <mergeCell ref="E225:E231"/>
    <mergeCell ref="F225:F231"/>
    <mergeCell ref="Q218:Q224"/>
    <mergeCell ref="R218:R224"/>
    <mergeCell ref="S218:S224"/>
    <mergeCell ref="V218:V224"/>
    <mergeCell ref="Y218:Y224"/>
    <mergeCell ref="Z218:Z224"/>
    <mergeCell ref="Z211:Z217"/>
    <mergeCell ref="A218:A224"/>
    <mergeCell ref="B218:B224"/>
    <mergeCell ref="C218:C224"/>
    <mergeCell ref="D218:D224"/>
    <mergeCell ref="E218:E224"/>
    <mergeCell ref="F218:F224"/>
    <mergeCell ref="G218:G224"/>
    <mergeCell ref="O218:O224"/>
    <mergeCell ref="P218:P224"/>
    <mergeCell ref="P211:P217"/>
    <mergeCell ref="Q211:Q217"/>
    <mergeCell ref="R211:R217"/>
    <mergeCell ref="S211:S217"/>
    <mergeCell ref="V211:V217"/>
    <mergeCell ref="Y211:Y217"/>
    <mergeCell ref="Y204:Y210"/>
    <mergeCell ref="Z204:Z210"/>
    <mergeCell ref="A211:A217"/>
    <mergeCell ref="B211:B217"/>
    <mergeCell ref="C211:C217"/>
    <mergeCell ref="D211:D217"/>
    <mergeCell ref="E211:E217"/>
    <mergeCell ref="F211:F217"/>
    <mergeCell ref="G211:G217"/>
    <mergeCell ref="O211:O217"/>
    <mergeCell ref="O204:O210"/>
    <mergeCell ref="P204:P210"/>
    <mergeCell ref="Q204:Q210"/>
    <mergeCell ref="R204:R210"/>
    <mergeCell ref="S204:S210"/>
    <mergeCell ref="V204:V210"/>
    <mergeCell ref="V196:V202"/>
    <mergeCell ref="Y196:Y202"/>
    <mergeCell ref="Z196:Z202"/>
    <mergeCell ref="A204:A210"/>
    <mergeCell ref="B204:B210"/>
    <mergeCell ref="C204:C210"/>
    <mergeCell ref="D204:D210"/>
    <mergeCell ref="E204:E210"/>
    <mergeCell ref="F204:F210"/>
    <mergeCell ref="G204:G210"/>
    <mergeCell ref="G196:G202"/>
    <mergeCell ref="O196:O202"/>
    <mergeCell ref="P196:P202"/>
    <mergeCell ref="Q196:Q202"/>
    <mergeCell ref="R196:R202"/>
    <mergeCell ref="S196:S202"/>
    <mergeCell ref="A196:A202"/>
    <mergeCell ref="B196:B202"/>
    <mergeCell ref="C196:C202"/>
    <mergeCell ref="D196:D202"/>
    <mergeCell ref="E196:E202"/>
    <mergeCell ref="F196:F202"/>
    <mergeCell ref="Q189:Q195"/>
    <mergeCell ref="R189:R195"/>
    <mergeCell ref="S189:S195"/>
    <mergeCell ref="V189:V195"/>
    <mergeCell ref="Y189:Y195"/>
    <mergeCell ref="Z189:Z195"/>
    <mergeCell ref="Z182:Z188"/>
    <mergeCell ref="A189:A195"/>
    <mergeCell ref="B189:B195"/>
    <mergeCell ref="C189:C195"/>
    <mergeCell ref="D189:D195"/>
    <mergeCell ref="E189:E195"/>
    <mergeCell ref="F189:F195"/>
    <mergeCell ref="G189:G195"/>
    <mergeCell ref="O189:O195"/>
    <mergeCell ref="P189:P195"/>
    <mergeCell ref="P182:P188"/>
    <mergeCell ref="Q182:Q188"/>
    <mergeCell ref="R182:R188"/>
    <mergeCell ref="S182:S188"/>
    <mergeCell ref="V182:V188"/>
    <mergeCell ref="Y182:Y188"/>
    <mergeCell ref="Y175:Y181"/>
    <mergeCell ref="Z175:Z181"/>
    <mergeCell ref="A182:A188"/>
    <mergeCell ref="B182:B188"/>
    <mergeCell ref="C182:C188"/>
    <mergeCell ref="D182:D188"/>
    <mergeCell ref="E182:E188"/>
    <mergeCell ref="F182:F188"/>
    <mergeCell ref="G182:G188"/>
    <mergeCell ref="O182:O188"/>
    <mergeCell ref="O175:O181"/>
    <mergeCell ref="P175:P181"/>
    <mergeCell ref="Q175:Q181"/>
    <mergeCell ref="R175:R181"/>
    <mergeCell ref="S175:S181"/>
    <mergeCell ref="V175:V181"/>
    <mergeCell ref="V168:V174"/>
    <mergeCell ref="Y168:Y174"/>
    <mergeCell ref="Z168:Z174"/>
    <mergeCell ref="A175:A181"/>
    <mergeCell ref="B175:B181"/>
    <mergeCell ref="C175:C181"/>
    <mergeCell ref="D175:D181"/>
    <mergeCell ref="E175:E181"/>
    <mergeCell ref="F175:F181"/>
    <mergeCell ref="G175:G181"/>
    <mergeCell ref="G168:G174"/>
    <mergeCell ref="O168:O174"/>
    <mergeCell ref="P168:P174"/>
    <mergeCell ref="Q168:Q174"/>
    <mergeCell ref="R168:R174"/>
    <mergeCell ref="S168:S174"/>
    <mergeCell ref="A168:A174"/>
    <mergeCell ref="B168:B174"/>
    <mergeCell ref="C168:C174"/>
    <mergeCell ref="D168:D174"/>
    <mergeCell ref="E168:E174"/>
    <mergeCell ref="F168:F174"/>
    <mergeCell ref="Q161:Q167"/>
    <mergeCell ref="R161:R167"/>
    <mergeCell ref="S161:S167"/>
    <mergeCell ref="V161:V167"/>
    <mergeCell ref="Y161:Y167"/>
    <mergeCell ref="Z161:Z167"/>
    <mergeCell ref="Z154:Z160"/>
    <mergeCell ref="A161:A167"/>
    <mergeCell ref="B161:B167"/>
    <mergeCell ref="C161:C167"/>
    <mergeCell ref="D161:D167"/>
    <mergeCell ref="E161:E167"/>
    <mergeCell ref="F161:F167"/>
    <mergeCell ref="G161:G167"/>
    <mergeCell ref="O161:O167"/>
    <mergeCell ref="P161:P167"/>
    <mergeCell ref="P154:P160"/>
    <mergeCell ref="Q154:Q160"/>
    <mergeCell ref="R154:R160"/>
    <mergeCell ref="S154:S160"/>
    <mergeCell ref="V154:V160"/>
    <mergeCell ref="Y154:Y160"/>
    <mergeCell ref="Y146:Y152"/>
    <mergeCell ref="Z146:Z152"/>
    <mergeCell ref="A154:A160"/>
    <mergeCell ref="B154:B160"/>
    <mergeCell ref="C154:C160"/>
    <mergeCell ref="D154:D160"/>
    <mergeCell ref="E154:E160"/>
    <mergeCell ref="F154:F160"/>
    <mergeCell ref="G154:G160"/>
    <mergeCell ref="O154:O160"/>
    <mergeCell ref="O146:O152"/>
    <mergeCell ref="P146:P152"/>
    <mergeCell ref="Q146:Q152"/>
    <mergeCell ref="R146:R152"/>
    <mergeCell ref="S146:S152"/>
    <mergeCell ref="V146:V152"/>
    <mergeCell ref="V139:V145"/>
    <mergeCell ref="Y139:Y145"/>
    <mergeCell ref="Z139:Z145"/>
    <mergeCell ref="A146:A152"/>
    <mergeCell ref="B146:B152"/>
    <mergeCell ref="C146:C152"/>
    <mergeCell ref="D146:D152"/>
    <mergeCell ref="E146:E152"/>
    <mergeCell ref="F146:F152"/>
    <mergeCell ref="G146:G152"/>
    <mergeCell ref="G139:G145"/>
    <mergeCell ref="O139:O145"/>
    <mergeCell ref="P139:P145"/>
    <mergeCell ref="Q139:Q145"/>
    <mergeCell ref="R139:R145"/>
    <mergeCell ref="S139:S145"/>
    <mergeCell ref="A139:A145"/>
    <mergeCell ref="B139:B145"/>
    <mergeCell ref="C139:C145"/>
    <mergeCell ref="D139:D145"/>
    <mergeCell ref="E139:E145"/>
    <mergeCell ref="F139:F145"/>
    <mergeCell ref="Q132:Q138"/>
    <mergeCell ref="R132:R138"/>
    <mergeCell ref="S132:S138"/>
    <mergeCell ref="V132:V138"/>
    <mergeCell ref="Y132:Y138"/>
    <mergeCell ref="Z132:Z138"/>
    <mergeCell ref="Z125:Z131"/>
    <mergeCell ref="A132:A138"/>
    <mergeCell ref="B132:B138"/>
    <mergeCell ref="C132:C138"/>
    <mergeCell ref="D132:D138"/>
    <mergeCell ref="E132:E138"/>
    <mergeCell ref="F132:F138"/>
    <mergeCell ref="G132:G138"/>
    <mergeCell ref="O132:O138"/>
    <mergeCell ref="P132:P138"/>
    <mergeCell ref="P125:P131"/>
    <mergeCell ref="Q125:Q131"/>
    <mergeCell ref="R125:R131"/>
    <mergeCell ref="S125:S131"/>
    <mergeCell ref="V125:V131"/>
    <mergeCell ref="Y125:Y131"/>
    <mergeCell ref="Y118:Y124"/>
    <mergeCell ref="Z118:Z124"/>
    <mergeCell ref="A125:A131"/>
    <mergeCell ref="B125:B131"/>
    <mergeCell ref="C125:C131"/>
    <mergeCell ref="D125:D131"/>
    <mergeCell ref="E125:E131"/>
    <mergeCell ref="F125:F131"/>
    <mergeCell ref="G125:G131"/>
    <mergeCell ref="O125:O131"/>
    <mergeCell ref="O118:O124"/>
    <mergeCell ref="P118:P124"/>
    <mergeCell ref="Q118:Q124"/>
    <mergeCell ref="R118:R124"/>
    <mergeCell ref="S118:S124"/>
    <mergeCell ref="V118:V124"/>
    <mergeCell ref="V111:V117"/>
    <mergeCell ref="Y111:Y117"/>
    <mergeCell ref="Z111:Z117"/>
    <mergeCell ref="A118:A124"/>
    <mergeCell ref="B118:B124"/>
    <mergeCell ref="C118:C124"/>
    <mergeCell ref="D118:D124"/>
    <mergeCell ref="E118:E124"/>
    <mergeCell ref="F118:F124"/>
    <mergeCell ref="G118:G124"/>
    <mergeCell ref="G111:G117"/>
    <mergeCell ref="O111:O117"/>
    <mergeCell ref="P111:P117"/>
    <mergeCell ref="Q111:Q117"/>
    <mergeCell ref="R111:R117"/>
    <mergeCell ref="S111:S117"/>
    <mergeCell ref="A111:A117"/>
    <mergeCell ref="B111:B117"/>
    <mergeCell ref="C111:C117"/>
    <mergeCell ref="D111:D117"/>
    <mergeCell ref="E111:E117"/>
    <mergeCell ref="F111:F117"/>
    <mergeCell ref="Q104:Q110"/>
    <mergeCell ref="R104:R110"/>
    <mergeCell ref="S104:S110"/>
    <mergeCell ref="V104:V110"/>
    <mergeCell ref="Y104:Y110"/>
    <mergeCell ref="Z104:Z110"/>
    <mergeCell ref="Z96:Z102"/>
    <mergeCell ref="A104:A110"/>
    <mergeCell ref="B104:B110"/>
    <mergeCell ref="C104:C110"/>
    <mergeCell ref="D104:D110"/>
    <mergeCell ref="E104:E110"/>
    <mergeCell ref="F104:F110"/>
    <mergeCell ref="G104:G110"/>
    <mergeCell ref="O104:O110"/>
    <mergeCell ref="P104:P110"/>
    <mergeCell ref="P96:P102"/>
    <mergeCell ref="Q96:Q102"/>
    <mergeCell ref="R96:R102"/>
    <mergeCell ref="S96:S102"/>
    <mergeCell ref="V96:V102"/>
    <mergeCell ref="Y96:Y102"/>
    <mergeCell ref="Y89:Y95"/>
    <mergeCell ref="Z89:Z95"/>
    <mergeCell ref="A96:A102"/>
    <mergeCell ref="B96:B102"/>
    <mergeCell ref="C96:C102"/>
    <mergeCell ref="D96:D102"/>
    <mergeCell ref="E96:E102"/>
    <mergeCell ref="F96:F102"/>
    <mergeCell ref="G96:G102"/>
    <mergeCell ref="O96:O102"/>
    <mergeCell ref="O89:O95"/>
    <mergeCell ref="P89:P95"/>
    <mergeCell ref="Q89:Q95"/>
    <mergeCell ref="R89:R95"/>
    <mergeCell ref="S89:S95"/>
    <mergeCell ref="V89:V95"/>
    <mergeCell ref="V82:V88"/>
    <mergeCell ref="Y82:Y88"/>
    <mergeCell ref="Z82:Z88"/>
    <mergeCell ref="A89:A95"/>
    <mergeCell ref="B89:B95"/>
    <mergeCell ref="C89:C95"/>
    <mergeCell ref="D89:D95"/>
    <mergeCell ref="E89:E95"/>
    <mergeCell ref="F89:F95"/>
    <mergeCell ref="G89:G95"/>
    <mergeCell ref="G82:G88"/>
    <mergeCell ref="O82:O88"/>
    <mergeCell ref="P82:P88"/>
    <mergeCell ref="Q82:Q88"/>
    <mergeCell ref="R82:R88"/>
    <mergeCell ref="S82:S88"/>
    <mergeCell ref="A82:A88"/>
    <mergeCell ref="B82:B88"/>
    <mergeCell ref="C82:C88"/>
    <mergeCell ref="D82:D88"/>
    <mergeCell ref="E82:E88"/>
    <mergeCell ref="F82:F88"/>
    <mergeCell ref="Q75:Q81"/>
    <mergeCell ref="R75:R81"/>
    <mergeCell ref="S75:S81"/>
    <mergeCell ref="V75:V81"/>
    <mergeCell ref="Y75:Y81"/>
    <mergeCell ref="Z75:Z81"/>
    <mergeCell ref="Z68:Z74"/>
    <mergeCell ref="A75:A81"/>
    <mergeCell ref="B75:B81"/>
    <mergeCell ref="C75:C81"/>
    <mergeCell ref="D75:D81"/>
    <mergeCell ref="E75:E81"/>
    <mergeCell ref="F75:F81"/>
    <mergeCell ref="G75:G81"/>
    <mergeCell ref="O75:O81"/>
    <mergeCell ref="P75:P81"/>
    <mergeCell ref="P68:P74"/>
    <mergeCell ref="Q68:Q74"/>
    <mergeCell ref="R68:R74"/>
    <mergeCell ref="S68:S74"/>
    <mergeCell ref="V68:V74"/>
    <mergeCell ref="Y68:Y74"/>
    <mergeCell ref="Y61:Y67"/>
    <mergeCell ref="Z61:Z67"/>
    <mergeCell ref="A68:A74"/>
    <mergeCell ref="B68:B74"/>
    <mergeCell ref="C68:C74"/>
    <mergeCell ref="D68:D74"/>
    <mergeCell ref="E68:E74"/>
    <mergeCell ref="F68:F74"/>
    <mergeCell ref="G68:G74"/>
    <mergeCell ref="O68:O74"/>
    <mergeCell ref="O61:O67"/>
    <mergeCell ref="P61:P67"/>
    <mergeCell ref="Q61:Q67"/>
    <mergeCell ref="R61:R67"/>
    <mergeCell ref="S61:S67"/>
    <mergeCell ref="V61:V67"/>
    <mergeCell ref="V54:V60"/>
    <mergeCell ref="Y54:Y60"/>
    <mergeCell ref="Z54:Z60"/>
    <mergeCell ref="A61:A67"/>
    <mergeCell ref="B61:B67"/>
    <mergeCell ref="C61:C67"/>
    <mergeCell ref="D61:D67"/>
    <mergeCell ref="E61:E67"/>
    <mergeCell ref="F61:F67"/>
    <mergeCell ref="G61:G67"/>
    <mergeCell ref="G54:G60"/>
    <mergeCell ref="O54:O60"/>
    <mergeCell ref="P54:P60"/>
    <mergeCell ref="Q54:Q60"/>
    <mergeCell ref="R54:R60"/>
    <mergeCell ref="S54:S60"/>
    <mergeCell ref="A54:A60"/>
    <mergeCell ref="B54:B60"/>
    <mergeCell ref="C54:C60"/>
    <mergeCell ref="D54:D60"/>
    <mergeCell ref="E54:E60"/>
    <mergeCell ref="F54:F60"/>
    <mergeCell ref="Q46:Q52"/>
    <mergeCell ref="R46:R52"/>
    <mergeCell ref="S46:S52"/>
    <mergeCell ref="V46:V52"/>
    <mergeCell ref="Y46:Y52"/>
    <mergeCell ref="Z46:Z52"/>
    <mergeCell ref="A1:Z2"/>
    <mergeCell ref="A46:A52"/>
    <mergeCell ref="B46:B52"/>
    <mergeCell ref="C46:C52"/>
    <mergeCell ref="D46:D52"/>
    <mergeCell ref="E46:E52"/>
    <mergeCell ref="F46:F52"/>
    <mergeCell ref="G46:G52"/>
    <mergeCell ref="O46:O52"/>
    <mergeCell ref="P46:P52"/>
    <mergeCell ref="O4:O10"/>
    <mergeCell ref="P4:P10"/>
    <mergeCell ref="Q4:Q10"/>
    <mergeCell ref="R4:R10"/>
    <mergeCell ref="S4:S10"/>
    <mergeCell ref="V4:V10"/>
    <mergeCell ref="Y4:Y10"/>
    <mergeCell ref="Z4:Z10"/>
    <mergeCell ref="A11:A17"/>
    <mergeCell ref="B11:B17"/>
    <mergeCell ref="C11:C17"/>
    <mergeCell ref="D11:D17"/>
    <mergeCell ref="E11:E17"/>
    <mergeCell ref="F11:F17"/>
    <mergeCell ref="G11:G17"/>
    <mergeCell ref="O11:O17"/>
    <mergeCell ref="P11:P17"/>
    <mergeCell ref="Q11:Q17"/>
    <mergeCell ref="R11:R17"/>
    <mergeCell ref="S11:S17"/>
    <mergeCell ref="V11:V17"/>
    <mergeCell ref="Y11:Y17"/>
    <mergeCell ref="Z11:Z17"/>
    <mergeCell ref="A18:A24"/>
    <mergeCell ref="B18:B24"/>
    <mergeCell ref="C18:C24"/>
    <mergeCell ref="D18:D24"/>
    <mergeCell ref="E18:E24"/>
    <mergeCell ref="F18:F24"/>
    <mergeCell ref="G18:G24"/>
    <mergeCell ref="O18:O24"/>
    <mergeCell ref="P18:P24"/>
    <mergeCell ref="Q18:Q24"/>
    <mergeCell ref="R18:R24"/>
    <mergeCell ref="S18:S24"/>
    <mergeCell ref="V18:V24"/>
    <mergeCell ref="Y18:Y24"/>
    <mergeCell ref="Z18:Z24"/>
    <mergeCell ref="A25:A31"/>
    <mergeCell ref="B25:B31"/>
    <mergeCell ref="C25:C31"/>
    <mergeCell ref="D25:D31"/>
    <mergeCell ref="E25:E31"/>
    <mergeCell ref="F25:F31"/>
    <mergeCell ref="G25:G31"/>
    <mergeCell ref="O25:O31"/>
    <mergeCell ref="P25:P31"/>
    <mergeCell ref="Q25:Q31"/>
    <mergeCell ref="R25:R31"/>
    <mergeCell ref="S25:S31"/>
    <mergeCell ref="V25:V31"/>
    <mergeCell ref="Y25:Y31"/>
    <mergeCell ref="Z25:Z31"/>
    <mergeCell ref="A32:A38"/>
    <mergeCell ref="B32:B38"/>
    <mergeCell ref="C32:C38"/>
    <mergeCell ref="D32:D38"/>
    <mergeCell ref="E32:E38"/>
    <mergeCell ref="F32:F38"/>
    <mergeCell ref="G32:G38"/>
    <mergeCell ref="O32:O38"/>
    <mergeCell ref="P32:P38"/>
    <mergeCell ref="Q32:Q38"/>
    <mergeCell ref="R32:R38"/>
    <mergeCell ref="S32:S38"/>
    <mergeCell ref="V32:V38"/>
    <mergeCell ref="Y32:Y38"/>
    <mergeCell ref="Z32:Z38"/>
    <mergeCell ref="A39:A45"/>
    <mergeCell ref="B39:B45"/>
    <mergeCell ref="C39:C45"/>
    <mergeCell ref="D39:D45"/>
    <mergeCell ref="E39:E45"/>
    <mergeCell ref="F39:F45"/>
    <mergeCell ref="G39:G45"/>
    <mergeCell ref="O39:O45"/>
    <mergeCell ref="Z39:Z45"/>
    <mergeCell ref="P39:P45"/>
    <mergeCell ref="Q39:Q45"/>
    <mergeCell ref="R39:R45"/>
    <mergeCell ref="S39:S45"/>
    <mergeCell ref="V39:V45"/>
    <mergeCell ref="Y39:Y45"/>
    <mergeCell ref="G4:G10"/>
    <mergeCell ref="A4:A10"/>
    <mergeCell ref="B4:B10"/>
    <mergeCell ref="C4:C10"/>
    <mergeCell ref="D4:D10"/>
    <mergeCell ref="E4:E10"/>
    <mergeCell ref="F4:F10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3</vt:i4>
      </vt:variant>
    </vt:vector>
  </HeadingPairs>
  <TitlesOfParts>
    <vt:vector size="3" baseType="lpstr">
      <vt:lpstr>2019.nov_dec_jún</vt:lpstr>
      <vt:lpstr>2020.július</vt:lpstr>
      <vt:lpstr>2020.augusztus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Éva</dc:creator>
  <cp:lastModifiedBy>Erdősy Orsolya</cp:lastModifiedBy>
  <dcterms:created xsi:type="dcterms:W3CDTF">2017-01-31T12:32:58Z</dcterms:created>
  <dcterms:modified xsi:type="dcterms:W3CDTF">2020-07-11T14:37:14Z</dcterms:modified>
</cp:coreProperties>
</file>